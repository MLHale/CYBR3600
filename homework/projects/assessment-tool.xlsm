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autoCompressPictures="0" defaultThemeVersion="124226"/>
  <mc:AlternateContent xmlns:mc="http://schemas.openxmlformats.org/markup-compatibility/2006">
    <mc:Choice Requires="x15">
      <x15ac:absPath xmlns:x15ac="http://schemas.microsoft.com/office/spreadsheetml/2010/11/ac" url="C:\Users\Matt\Dropbox\UNO\IASC3600 - Information Security and Policy\Info Sec Laws\security control frameworks\compliance\"/>
    </mc:Choice>
  </mc:AlternateContent>
  <bookViews>
    <workbookView xWindow="0" yWindow="0" windowWidth="28800" windowHeight="12435" tabRatio="760" activeTab="3"/>
  </bookViews>
  <sheets>
    <sheet name="READ ME" sheetId="1" r:id="rId1"/>
    <sheet name="How to Score Yourself" sheetId="4" r:id="rId2"/>
    <sheet name="Assessment Tool" sheetId="3" r:id="rId3"/>
    <sheet name="Tool Mapped to Standards" sheetId="5" r:id="rId4"/>
    <sheet name="Lookups" sheetId="6" r:id="rId5"/>
  </sheets>
  <definedNames>
    <definedName name="_xlnm.Print_Area" localSheetId="2">'Assessment Tool'!$A$1:$G$131</definedName>
    <definedName name="_xlnm.Print_Area" localSheetId="1">'How to Score Yourself'!$A$1:$H$9</definedName>
    <definedName name="_xlnm.Print_Titles" localSheetId="2">'Assessment Tool'!$14:$14</definedName>
  </definedNames>
  <calcPr calcId="152511" concurrentCalc="0"/>
  <customWorkbookViews>
    <customWorkbookView name="Susan Gollnick - Personal View" guid="{EF5CB27C-5FE0-45F3-94B2-4859305A3BC1}" mergeInterval="0" personalView="1" maximized="1" windowWidth="1916" windowHeight="1023" tabRatio="760" activeSheetId="3"/>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E130" i="3" l="1"/>
  <c r="E129" i="3"/>
  <c r="E128" i="3"/>
  <c r="E127" i="3"/>
  <c r="E126" i="3"/>
  <c r="E125" i="3"/>
  <c r="E124" i="3"/>
  <c r="E123" i="3"/>
  <c r="E121" i="3"/>
  <c r="E119" i="3"/>
  <c r="E118" i="3"/>
  <c r="E116" i="3"/>
  <c r="E115" i="3"/>
  <c r="E114" i="3"/>
  <c r="E113" i="3"/>
  <c r="E112" i="3"/>
  <c r="E111" i="3"/>
  <c r="E110" i="3"/>
  <c r="E109" i="3"/>
  <c r="E108" i="3"/>
  <c r="E107" i="3"/>
  <c r="E106" i="3"/>
  <c r="E105" i="3"/>
  <c r="E104" i="3"/>
  <c r="E103" i="3"/>
  <c r="E102" i="3"/>
  <c r="E101" i="3"/>
  <c r="E100" i="3"/>
  <c r="E98" i="3"/>
  <c r="E97" i="3"/>
  <c r="E96" i="3"/>
  <c r="E95" i="3"/>
  <c r="E94" i="3"/>
  <c r="E93" i="3"/>
  <c r="E92" i="3"/>
  <c r="E91" i="3"/>
  <c r="E90" i="3"/>
  <c r="E89" i="3"/>
  <c r="E88" i="3"/>
  <c r="E87" i="3"/>
  <c r="E86" i="3"/>
  <c r="E85" i="3"/>
  <c r="E84" i="3"/>
  <c r="E83" i="3"/>
  <c r="E82" i="3"/>
  <c r="E81"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0" i="3"/>
  <c r="E49" i="3"/>
  <c r="E48" i="3"/>
  <c r="E47" i="3"/>
  <c r="E46" i="3"/>
  <c r="E45" i="3"/>
  <c r="E44" i="3"/>
  <c r="E42" i="3"/>
  <c r="E41" i="3"/>
  <c r="E40" i="3"/>
  <c r="E39" i="3"/>
  <c r="E38" i="3"/>
  <c r="E36" i="3"/>
  <c r="E35" i="3"/>
  <c r="E33" i="3"/>
  <c r="E32" i="3"/>
  <c r="E31" i="3"/>
  <c r="E30" i="3"/>
  <c r="E29" i="3"/>
  <c r="E28" i="3"/>
  <c r="E27" i="3"/>
  <c r="E26" i="3"/>
  <c r="E25" i="3"/>
  <c r="E24" i="3"/>
  <c r="E22" i="3"/>
  <c r="E21" i="3"/>
  <c r="E20" i="3"/>
  <c r="E18" i="3"/>
  <c r="E17" i="3"/>
  <c r="E99" i="3"/>
  <c r="E23" i="3"/>
  <c r="B16" i="3"/>
  <c r="E120" i="3"/>
  <c r="E16" i="3"/>
  <c r="E15" i="3"/>
  <c r="E80" i="3"/>
  <c r="E51" i="3"/>
  <c r="E117" i="3"/>
  <c r="E37" i="3"/>
  <c r="E122" i="3"/>
  <c r="E34" i="3"/>
  <c r="E19" i="3"/>
  <c r="E43" i="3"/>
  <c r="F131" i="3"/>
</calcChain>
</file>

<file path=xl/sharedStrings.xml><?xml version="1.0" encoding="utf-8"?>
<sst xmlns="http://schemas.openxmlformats.org/spreadsheetml/2006/main" count="881" uniqueCount="740">
  <si>
    <t>Are reviews and tests performed to ensure that changes made to production systems do not have an adverse impact on security or operations?</t>
  </si>
  <si>
    <t>Are validation checks incorporated into applications to detect any corruption of information through processing errors or deliberate acts?</t>
    <phoneticPr fontId="8" type="noConversion"/>
  </si>
  <si>
    <t xml:space="preserve">Authorization process for Information Processing facilities </t>
  </si>
  <si>
    <t>Information Security Policy Document</t>
  </si>
  <si>
    <t xml:space="preserve">Review of Information Security Policy </t>
  </si>
  <si>
    <t>Management Commitment to information security</t>
  </si>
  <si>
    <t>Confidentiality agreements</t>
  </si>
  <si>
    <t>Contact with authorities</t>
  </si>
  <si>
    <t>Contact with special interest groups</t>
  </si>
  <si>
    <t>Independent review of information security</t>
  </si>
  <si>
    <t>Identification of risk related to external parties</t>
  </si>
  <si>
    <t>Addressing security when dealing with customers</t>
  </si>
  <si>
    <t>Inventory of assets</t>
  </si>
  <si>
    <t>Classification Guidelines</t>
  </si>
  <si>
    <t>Termination responsibility</t>
  </si>
  <si>
    <t>Return of assets</t>
  </si>
  <si>
    <t>Physical entry controls</t>
  </si>
  <si>
    <t>Equipment Maintenance</t>
  </si>
  <si>
    <t>Security of equipment off-premises</t>
  </si>
  <si>
    <t>Secure disposal or reuse of equipment</t>
  </si>
  <si>
    <t>Separation of development and Operations facilities</t>
  </si>
  <si>
    <t>Service Delivery</t>
  </si>
  <si>
    <t>Capacity management</t>
  </si>
  <si>
    <t>Controls against malicious code</t>
  </si>
  <si>
    <t>Information Backup</t>
  </si>
  <si>
    <t>Network controls</t>
  </si>
  <si>
    <t>Management of removable media</t>
  </si>
  <si>
    <t xml:space="preserve">Electronic Commerce </t>
  </si>
  <si>
    <t>Audit logging</t>
  </si>
  <si>
    <t>Monitoring system use</t>
  </si>
  <si>
    <t>Administrator and operator logs</t>
  </si>
  <si>
    <t>Fault logging</t>
  </si>
  <si>
    <t>Clock synchronization</t>
  </si>
  <si>
    <t>User authentication for external connections</t>
  </si>
  <si>
    <t>Remote diagnostic and configuration port protection</t>
  </si>
  <si>
    <t>Network connection control</t>
  </si>
  <si>
    <t>Network Routing control</t>
  </si>
  <si>
    <t>Secure Log-on procedures</t>
  </si>
  <si>
    <t>User identification and authentication</t>
  </si>
  <si>
    <t>Password Management system</t>
  </si>
  <si>
    <t>Use of system utilities</t>
  </si>
  <si>
    <t>Sensitive system isolation</t>
  </si>
  <si>
    <t>Management Responsibility</t>
  </si>
  <si>
    <t>Information security awareness, education and training</t>
  </si>
  <si>
    <t>Input data validation</t>
  </si>
  <si>
    <t>Control of internal processing</t>
  </si>
  <si>
    <t>Message integrity</t>
  </si>
  <si>
    <t>Output data validation</t>
  </si>
  <si>
    <t>Policy on the use of cryptographic controls</t>
  </si>
  <si>
    <t>Key Management</t>
  </si>
  <si>
    <t>Control of Operational software</t>
  </si>
  <si>
    <t>Protection of system test data</t>
  </si>
  <si>
    <t>Protecting against external and environmental threats</t>
  </si>
  <si>
    <t>Working in secure areas</t>
  </si>
  <si>
    <t>Documented operating Procedures</t>
  </si>
  <si>
    <t>Change Management</t>
  </si>
  <si>
    <t>Segregation of Duties</t>
  </si>
  <si>
    <t>Outsourced Software Development</t>
  </si>
  <si>
    <t>Control of technical vulnerabilities</t>
  </si>
  <si>
    <t>Reporting Information security events</t>
  </si>
  <si>
    <t>Collection of evidence</t>
  </si>
  <si>
    <t>Information exchange policies and procedures</t>
  </si>
  <si>
    <t>Protection of organizational records</t>
  </si>
  <si>
    <t>Data Protection and privacy of personal information</t>
  </si>
  <si>
    <t>Prevention of misuse of information processing facilities</t>
  </si>
  <si>
    <t>Regulation of cryptographic controls</t>
  </si>
  <si>
    <t>Compliance with security policy</t>
  </si>
  <si>
    <t>Technical compliance checking</t>
  </si>
  <si>
    <t>Access control Policy</t>
  </si>
  <si>
    <t>User Registration</t>
  </si>
  <si>
    <t>Information security Co-ordination</t>
  </si>
  <si>
    <t>Information System Audit controls</t>
  </si>
  <si>
    <t>Protection of information system audit tools</t>
  </si>
  <si>
    <t>ISO Section Descriptions</t>
  </si>
  <si>
    <t>User password management</t>
  </si>
  <si>
    <t>Review of user access rights</t>
  </si>
  <si>
    <t xml:space="preserve"> </t>
  </si>
  <si>
    <t>Mobile computing and communication</t>
  </si>
  <si>
    <t>Teleworking</t>
  </si>
  <si>
    <t>Security Requirements of Information Systems</t>
  </si>
  <si>
    <t>Security requirement analysis and specifications</t>
  </si>
  <si>
    <t>Access control to program source library</t>
  </si>
  <si>
    <t>Change Control Procedures</t>
  </si>
  <si>
    <t>Removal of Property</t>
  </si>
  <si>
    <t>Technical review of applications after Operating system changes</t>
  </si>
  <si>
    <t>Information Leakage</t>
  </si>
  <si>
    <t xml:space="preserve">Are security-related activities such as hardware configuration changes, software configuration changes, access attempts, and authorization and privilege assignments automatically logged? </t>
  </si>
  <si>
    <t>To ensure that security is an integral part of information systems.</t>
  </si>
  <si>
    <t xml:space="preserve">Has your organization identified critical information assets and the functions that rely on them? </t>
  </si>
  <si>
    <t xml:space="preserve">Does your information security function have the authority it needs to manage and ensure compliance with the information security program? </t>
  </si>
  <si>
    <t xml:space="preserve">Allocation of information security responsibilities </t>
  </si>
  <si>
    <t xml:space="preserve">Are duties sufficiently segregated to ensure unintentional or unauthorized modification of information is detected? </t>
  </si>
  <si>
    <t>Are you performing independent audits on information systems to identify strengths and weaknesses?</t>
  </si>
  <si>
    <t>Are audit tools properly separated from development and operational system environments to prevent any misuse or compromise?</t>
  </si>
  <si>
    <t>Are production systems separated from other stages of the development life cycle?</t>
  </si>
  <si>
    <t xml:space="preserve">Are controls in place to protect, track, and report status of media that has been removed from secure organization sites? </t>
  </si>
  <si>
    <t>Does your institution review the policy at defined intervals to encompass significant change and monitor for compliance?</t>
  </si>
  <si>
    <t>Does your institution have independent security reviews completed at planned intervals or when significant changes to the environment occur?</t>
  </si>
  <si>
    <t>Does your institution have a process for issuing keys, codes, and/or cards that require appropriate authorization and background checks for access to these sensitive facilities?</t>
  </si>
  <si>
    <t xml:space="preserve">Does your institution maintain security configuration standards for information systems and applications? </t>
  </si>
  <si>
    <t xml:space="preserve">Does your institution have processes in place to monitor the utilization of key system resources and to mitigate the risk of system downtime? </t>
  </si>
  <si>
    <t>Omit</t>
  </si>
  <si>
    <t>Does your institution regularly review administrative and operative access to audit logs?</t>
  </si>
  <si>
    <t>Does your institution employ specific measures to prevent and detect rogue access for all of your wireless LANs?</t>
  </si>
  <si>
    <t xml:space="preserve">Does your institution have mechanisms in place to manage digital identities (accounts, keys, tokens) throughout their life cycle, from registration through termination? </t>
  </si>
  <si>
    <t>Does your institution have standards for isolating sensitive data and procedures and technologies in place to protect it from unauthorized access and tampering?</t>
  </si>
  <si>
    <t>Incorrect output may occur, even in tested systems. Does your institution have validation checks to ensure data output is as expected?</t>
  </si>
  <si>
    <t>Are standards for key management documented and employed?</t>
    <phoneticPr fontId="8" type="noConversion"/>
  </si>
  <si>
    <t>Does your institution apply the same security standards for sensitive test data that you apply to sensitive production data?</t>
  </si>
  <si>
    <t>Does your institution restrict and monitor access to source code libraries to reduce the risk of corruption?</t>
  </si>
  <si>
    <t>Have you implemented tools and procedures to monitor for and prevent loss of sensitive data?</t>
    <phoneticPr fontId="8" type="noConversion"/>
  </si>
  <si>
    <t>Do your contract agreements include security requirements for outsourced software development?</t>
    <phoneticPr fontId="8" type="noConversion"/>
  </si>
  <si>
    <t>Does your institution have an enforceable data protection policy that covers personally identifiable information (PII)?</t>
  </si>
  <si>
    <t>Does your institution perform periodic application and network layer vulnerability testing or penetration testing against critical information systems?</t>
  </si>
  <si>
    <t xml:space="preserve">Assessing Security Risks </t>
  </si>
  <si>
    <r>
      <rPr>
        <b/>
        <sz val="12"/>
        <rFont val="Calibri"/>
        <family val="2"/>
        <scheme val="minor"/>
      </rPr>
      <t>Risk</t>
    </r>
    <r>
      <rPr>
        <sz val="12"/>
        <rFont val="Calibri"/>
        <family val="2"/>
        <scheme val="minor"/>
      </rPr>
      <t xml:space="preserve"> Management/</t>
    </r>
    <r>
      <rPr>
        <b/>
        <sz val="12"/>
        <rFont val="Calibri"/>
        <family val="2"/>
        <scheme val="minor"/>
      </rPr>
      <t>Assessment &amp; Treatment</t>
    </r>
  </si>
  <si>
    <r>
      <t xml:space="preserve">Does your institution have a password management program that follows current security standards? </t>
    </r>
    <r>
      <rPr>
        <strike/>
        <sz val="12"/>
        <rFont val="Calibri"/>
        <family val="2"/>
        <scheme val="minor"/>
      </rPr>
      <t xml:space="preserve">
</t>
    </r>
  </si>
  <si>
    <t xml:space="preserve">Does your institution have a patch management strategy in place and responsibilities assigned for monitoring and promptly responding to patch releases, security bulletins, and vulnerability reports? </t>
  </si>
  <si>
    <t>Continuously Improving</t>
  </si>
  <si>
    <t>Are new information systems or enhancements to existing information systems validated against defined security requirements?</t>
  </si>
  <si>
    <t>Are processes in place to check whether message integrity is required?</t>
  </si>
  <si>
    <t>Are your incident response staff aware of legal or compliance requirements surrounding evidence collection?</t>
  </si>
  <si>
    <t>Does your institution have an Acceptable Use Policy that defines misuse?</t>
  </si>
  <si>
    <t>Does your institution provide guidance for the community on export control laws?</t>
  </si>
  <si>
    <t xml:space="preserve">Does your institution have an authentication system in place that applies higher levels of authentication to protect resources with higher levels of sensitivity? </t>
  </si>
  <si>
    <t xml:space="preserve">
</t>
  </si>
  <si>
    <t>Does your institution have a process for validating the security of purchased software products and services?</t>
  </si>
  <si>
    <t>What is your institution's Carnegie designation?</t>
  </si>
  <si>
    <t>Questions</t>
  </si>
  <si>
    <t>AC: Access Control</t>
  </si>
  <si>
    <t xml:space="preserve">AT: Awareness and Training </t>
    <phoneticPr fontId="16" type="noConversion"/>
  </si>
  <si>
    <t>AU: Audit and Accountability</t>
  </si>
  <si>
    <t>CA: Security Assessment and Authorization</t>
  </si>
  <si>
    <t>CM: Configuration Management</t>
  </si>
  <si>
    <t>CP: Contingency Planning</t>
  </si>
  <si>
    <t>IA: Identificaton and Authentication</t>
  </si>
  <si>
    <t>IR: Incident Response</t>
  </si>
  <si>
    <t>MP: Media Protection</t>
  </si>
  <si>
    <t>PE: Physical and Environmental Protection</t>
  </si>
  <si>
    <t>PL: Planning</t>
  </si>
  <si>
    <t>PS: Personnel Security</t>
  </si>
  <si>
    <t>RA: Risk Assessment</t>
  </si>
  <si>
    <t>SA: System and Services Acquisition</t>
  </si>
  <si>
    <t>SC: System and Communications Protection</t>
  </si>
  <si>
    <t>SI: System and Information Integrity</t>
  </si>
  <si>
    <t>PM: Program Management</t>
  </si>
  <si>
    <t>ISO 21827</t>
  </si>
  <si>
    <t>Original ISO text</t>
  </si>
  <si>
    <t>Performed Informally</t>
  </si>
  <si>
    <t>Base practices of the process area are generally performed. The performance of these base practices may not be rigorously planned and tracked. Performance depends on individual knowledge and effort. Work products of the process area testify to their performance. Individuals within the organization recognize that an action should be performed, and there is general agreement that this action is performed as and when required. There are identifiable work products for the process.</t>
  </si>
  <si>
    <t>Performance of the base practices in the process area is planned and tracked. Performance according to specified procedures is verified. Work products conform to specified standards and requirements.</t>
  </si>
  <si>
    <t>Well Defined</t>
  </si>
  <si>
    <t>Base practices are performed according to a well-defined process using approved, tailored versions of standard, documented processes. The primary distinction from Level 2, Planned and Tracked, is that the process is planned and managed using an organization-wide standard process.</t>
  </si>
  <si>
    <t>Quantitatively Controlled</t>
  </si>
  <si>
    <t>Quantitative performance goals (targets) for process effectiveness and efficiency are established based on the business goals of the organization. Continuous process improvement against these goals is enabled by quantitative feedback from performing the defined processes and from piloting innovative ideas and technologies. The primary distinction from the quantitatively controlled level is that the defined process and the standard process undergo continuous refinement and improvement, based on a quantitative understanding of the impact of changes to these processes.</t>
  </si>
  <si>
    <r>
      <rPr>
        <b/>
        <sz val="11"/>
        <rFont val="Calibri"/>
        <family val="2"/>
        <scheme val="minor"/>
      </rPr>
      <t>Annual budget of the organization</t>
    </r>
    <r>
      <rPr>
        <sz val="11"/>
        <rFont val="Calibri"/>
        <family val="2"/>
        <scheme val="minor"/>
      </rPr>
      <t xml:space="preserve">
</t>
    </r>
  </si>
  <si>
    <t>Assess an institution’s information security incident management program. An effective program will ensure personnel are trained and equipped to detect, report, and respond to adverse events.</t>
  </si>
  <si>
    <t>Assess an institution’s processes for staying current with legal and contractual requirements to protect sensitive information assets.</t>
  </si>
  <si>
    <t>ISO 4: Risk Management</t>
  </si>
  <si>
    <t xml:space="preserve">ISO 5: Security Policy </t>
  </si>
  <si>
    <t xml:space="preserve">ISO 6: Organization of Information Security </t>
  </si>
  <si>
    <t>ISO 7: Asset Management</t>
  </si>
  <si>
    <t xml:space="preserve">ISO 11: Access Control </t>
  </si>
  <si>
    <t>Assess an institution’s use of administrative, physical, or technical security features to manage how users and systems communicate and interact with other information resources.</t>
  </si>
  <si>
    <t>Assess whether an institution has security requirements established as an integral part of the development or implementation of an information system.</t>
  </si>
  <si>
    <t xml:space="preserve">ISO 15: Compliance </t>
  </si>
  <si>
    <t>A.5 Security Policy</t>
  </si>
  <si>
    <t>A.5.1 Information security policy</t>
  </si>
  <si>
    <t>A.6 Organization of information security</t>
  </si>
  <si>
    <t>A.6.1 Internal</t>
  </si>
  <si>
    <t>A.6.2 External Parties</t>
  </si>
  <si>
    <t>A.7 Asset Management</t>
  </si>
  <si>
    <t>A.7.1 Responsibility for assets</t>
  </si>
  <si>
    <t>A.7.2 Information Classification</t>
  </si>
  <si>
    <t>A.8 Human Resources Security</t>
  </si>
  <si>
    <t>A.8.1 Prior to Employment</t>
  </si>
  <si>
    <t>A.8.2 During employment</t>
  </si>
  <si>
    <t>A.8.3 Termination or change of employment</t>
  </si>
  <si>
    <t>A.9 Physical and environmental security</t>
  </si>
  <si>
    <t>A.9.1 Secure areas</t>
  </si>
  <si>
    <t>A.9.2 Equipment security</t>
  </si>
  <si>
    <t>A.9.2.7 Removal of property MP-5, PE-16</t>
  </si>
  <si>
    <t>A.10 Communications and operations management</t>
  </si>
  <si>
    <t>A.10.1 Operational procedures and responsibilities</t>
  </si>
  <si>
    <t>A.10.2 Third-party service delivery management</t>
  </si>
  <si>
    <t>A.10.3 System planning and acceptance</t>
  </si>
  <si>
    <t>A.10.4 Protection against malicious and mobile code</t>
  </si>
  <si>
    <t>A.10.5 Backup</t>
  </si>
  <si>
    <t>A.10.6 Network security management</t>
  </si>
  <si>
    <t>A.10.7 Media handling</t>
  </si>
  <si>
    <t>A.10.8 Exchange of information</t>
  </si>
  <si>
    <t>A.10.9 Electronic commerce services</t>
  </si>
  <si>
    <t>A.10.10 Monitoring</t>
  </si>
  <si>
    <t>A.11 Access Control</t>
  </si>
  <si>
    <t>A.11.1 Business requirement for access control</t>
  </si>
  <si>
    <t>A.11.2 User access management</t>
  </si>
  <si>
    <t>A 11.3 User responsibilities</t>
  </si>
  <si>
    <t>A.11.4 Network access control</t>
  </si>
  <si>
    <t>A 11.5 Operating system access control</t>
  </si>
  <si>
    <t>A.11.6 Application and information access control</t>
  </si>
  <si>
    <t>A.11.7 Mobile computing and teleworking</t>
  </si>
  <si>
    <t>A.12.1 Security requirements of information systems</t>
  </si>
  <si>
    <t>A.12.2 Correct processing in applications</t>
  </si>
  <si>
    <t>A.12.3 Cryptographic controls</t>
  </si>
  <si>
    <t>A.12.4 Security of system files</t>
  </si>
  <si>
    <t>A.12.5 Security in development and support processes</t>
  </si>
  <si>
    <t>CM-3, CM-4, CM-9, SI-2</t>
  </si>
  <si>
    <t>A.12.6 Technical Vulnerability Management</t>
  </si>
  <si>
    <t>A.13 Information security incident management</t>
  </si>
  <si>
    <t xml:space="preserve">A.5.1.1 Information security policy document </t>
  </si>
  <si>
    <t>XX-1 controls</t>
  </si>
  <si>
    <t>A.5.1.2 Review of the information security policy</t>
  </si>
  <si>
    <t>A.6.1.1 Management commitment to information security</t>
  </si>
  <si>
    <t xml:space="preserve">A.6.1.2 Information security coordination </t>
  </si>
  <si>
    <t>CP-2, CP-4, IR-4, PL-1, PL-2, PM-2, SA-2;SP 800-39, SP 800-37</t>
  </si>
  <si>
    <t>A.13.1 Reporting information security events and weaknesses</t>
  </si>
  <si>
    <t>A.14 Business continuity management</t>
  </si>
  <si>
    <t>CP-1, CP-2, CP-4</t>
  </si>
  <si>
    <t>CP Family</t>
  </si>
  <si>
    <t>CP-2, CP-4</t>
  </si>
  <si>
    <t>A.15 Compliance</t>
  </si>
  <si>
    <t>A.15.1 Compliance with legal requirements</t>
  </si>
  <si>
    <t>A.15.3 Information systems audit considerations</t>
  </si>
  <si>
    <t xml:space="preserve">Does your institution have a configuration-management process in place to ensure that changes to your critical systems are for valid business reasons and have received proper authorization? </t>
  </si>
  <si>
    <t xml:space="preserve">A.6.1.3 Allocation of information security responsibilities </t>
  </si>
  <si>
    <t>XX-1 controls, AC-5, AC-6, CM-9, PM-2; SP 800-39, SP 800-37</t>
  </si>
  <si>
    <t xml:space="preserve">A.6.1.4 Authorization process for information processing facilities </t>
  </si>
  <si>
    <t>CA-1, CA-6, PM-10; SP 800-37</t>
  </si>
  <si>
    <t xml:space="preserve">A.6.1.5 Confidentiality agreements </t>
  </si>
  <si>
    <t>PL-4, PS-6, SA-9</t>
  </si>
  <si>
    <t xml:space="preserve">A.6.1.7 Contact with special interest groups </t>
  </si>
  <si>
    <t>AT-5, SI-5</t>
  </si>
  <si>
    <t>A.6.1.8 Independent review of information security</t>
  </si>
  <si>
    <t>A.6.2.1 Identification of risks related to external parties</t>
  </si>
  <si>
    <t xml:space="preserve"> CA-3, PM-9, RA-3, SA-1, SA-9, SC-7</t>
  </si>
  <si>
    <t>A.6.2.2 Addressing security when dealing with customers</t>
  </si>
  <si>
    <t xml:space="preserve"> AC-8 , AT-2, PL-4</t>
  </si>
  <si>
    <t xml:space="preserve">A.6.2.3 Addressing security in third party agreements </t>
  </si>
  <si>
    <t>AU-16, CA-2, CA-3, PS-7, SA-9</t>
  </si>
  <si>
    <t xml:space="preserve">A.7.1.1 Inventory of assets </t>
  </si>
  <si>
    <t>CM-8, CM-9, PM-5</t>
  </si>
  <si>
    <t xml:space="preserve">A.7.1.2 Ownership of assets </t>
  </si>
  <si>
    <t xml:space="preserve">A.7.1.3 Acceptable use of assets </t>
  </si>
  <si>
    <t>AC-20, PL-4</t>
  </si>
  <si>
    <t>A.7.2.1 Classification Guidelines</t>
  </si>
  <si>
    <t xml:space="preserve"> RA-2</t>
  </si>
  <si>
    <t xml:space="preserve">A.7.2.2 Information labeling and handling </t>
  </si>
  <si>
    <t>AC-16, MP-2, MP-3, SC-16</t>
  </si>
  <si>
    <t xml:space="preserve">A.8.1.1 Roles and Responsibilities </t>
  </si>
  <si>
    <t>XX-1 controls, AC-5, AC-6, AC-8, AC-20, AT-2, AT-3, CM-9, PL-4, PS-2, PS-6, PS-7, SA-9</t>
  </si>
  <si>
    <t xml:space="preserve">A.8.1.3 Terms and conditions of employment </t>
  </si>
  <si>
    <t>AC-20, PL-4, PS-6, PS-7</t>
  </si>
  <si>
    <t xml:space="preserve">A.8.1.2 Screening </t>
  </si>
  <si>
    <t>PS-3</t>
  </si>
  <si>
    <t xml:space="preserve">A.8.2.1 Management responsibilities </t>
  </si>
  <si>
    <t>PL-4, PM-13, PM-15, PS-6, PS-7, SA-9</t>
  </si>
  <si>
    <t xml:space="preserve">A.8.2.3 Disciplinary process </t>
  </si>
  <si>
    <t>PS-8</t>
  </si>
  <si>
    <t xml:space="preserve">A.8.2.2 Awareness, education, and training </t>
  </si>
  <si>
    <t>AT-2, AT-3, IR-2</t>
  </si>
  <si>
    <t xml:space="preserve">A.8.3.1 Termination responsibilities </t>
  </si>
  <si>
    <t>PS-4, PS-5</t>
  </si>
  <si>
    <t xml:space="preserve">A.8.3.2 Return of assets </t>
  </si>
  <si>
    <t xml:space="preserve">A.8.3.3 Removal of access rights </t>
  </si>
  <si>
    <t>AC-2, PS-4, PS-5</t>
  </si>
  <si>
    <t xml:space="preserve">A.9.1.1 Physical security perimeter </t>
  </si>
  <si>
    <t>PE-3</t>
  </si>
  <si>
    <t xml:space="preserve">A.9.1.2 Physical entry controls </t>
  </si>
  <si>
    <t>PE-3, PE-5, PE-6</t>
  </si>
  <si>
    <t xml:space="preserve">A.9.1.3 Securing offices, rooms, facilities </t>
  </si>
  <si>
    <t>PE-3, PE-4, PE-5</t>
  </si>
  <si>
    <t xml:space="preserve">A.9.1.4 Protecting against external and environmental threats </t>
  </si>
  <si>
    <t>CP Family; PE-1, PE-9, PE-10, PE-11, PE-13,PE-15</t>
  </si>
  <si>
    <t xml:space="preserve">A.9.1.5 Working in secure areas </t>
  </si>
  <si>
    <t>AT-2, AT-3 , PL-4, PS-6, PE-2, PE-3, PE-4, PE-6, PE-8</t>
  </si>
  <si>
    <t xml:space="preserve">A.9.1.6 Public access, delivery and loading areas </t>
  </si>
  <si>
    <t>PE-3 , PE-16</t>
  </si>
  <si>
    <t xml:space="preserve">A.9.2.1 Equipment siting and protection </t>
  </si>
  <si>
    <t>PE-1, PE-18</t>
  </si>
  <si>
    <t xml:space="preserve">A.9.2.2 Supporting utilities </t>
  </si>
  <si>
    <t>PE-1, PE-9, PE-11, PE-12, PE-14</t>
  </si>
  <si>
    <t xml:space="preserve">A.9.2.3 Cabling security </t>
  </si>
  <si>
    <t>PE-4, PE-9</t>
  </si>
  <si>
    <t xml:space="preserve">A.9.2.4 Equipment maintenance </t>
  </si>
  <si>
    <t>MA Family</t>
  </si>
  <si>
    <t xml:space="preserve">A.9.2.5 Security of equipment off-premises </t>
  </si>
  <si>
    <t>MP-5, PE-17</t>
  </si>
  <si>
    <t xml:space="preserve">A.9.2.6 Secure disposal or reuse of equipment </t>
  </si>
  <si>
    <t>MP-6</t>
  </si>
  <si>
    <t>MP-5 , PE-16</t>
  </si>
  <si>
    <t xml:space="preserve">A.15.3.2 Protection of information systems audit tools </t>
  </si>
  <si>
    <t>AU-9</t>
  </si>
  <si>
    <t xml:space="preserve">A.15.3.1 Information systems audit controls </t>
  </si>
  <si>
    <t>AU-1, AU-2</t>
  </si>
  <si>
    <t xml:space="preserve">A.15.2.2 Technical compliance checking </t>
  </si>
  <si>
    <t>CA-2, CA-7, RA-5</t>
  </si>
  <si>
    <t xml:space="preserve">A.15.2.1 Compliance with security policies and standards </t>
  </si>
  <si>
    <t>XX-1 controls, AC-2, CA-2, CA-7, IA-7, PE-8, SI-12</t>
  </si>
  <si>
    <t xml:space="preserve">A.15.1.6 Regulation of cryptographic controls </t>
  </si>
  <si>
    <t>IA-7, SC-13</t>
  </si>
  <si>
    <t xml:space="preserve">A.15.1.5 Prevention of misuse of information processing facilities </t>
  </si>
  <si>
    <t>AC-8, AU-6, CM-11, PL-4, PS-6, PS-8</t>
  </si>
  <si>
    <t xml:space="preserve">A.15.1.4 Data protection and privacy of personal information </t>
  </si>
  <si>
    <t>Appendix J; SI-12</t>
  </si>
  <si>
    <t xml:space="preserve">A.15.1.3 Protection of organizational records </t>
  </si>
  <si>
    <t>AU-9, AU-11, CP-9, MP-1, MP-4, SA-5, SI-12</t>
  </si>
  <si>
    <t xml:space="preserve">A.15.1.2 Intellectual property rights (IPR) </t>
  </si>
  <si>
    <t>CM-10</t>
  </si>
  <si>
    <t xml:space="preserve">A.15.1.1 Identification of applicable legislation </t>
  </si>
  <si>
    <t>XX-1 controls, IA-7</t>
  </si>
  <si>
    <t xml:space="preserve">A.10.1.1 Documented operating procedures </t>
  </si>
  <si>
    <t>XX-1 controls, CM-9</t>
  </si>
  <si>
    <t xml:space="preserve">A.10.1.2 Change management </t>
  </si>
  <si>
    <t>CM-1, CM-3, CM-4, CM-5, CM-9</t>
  </si>
  <si>
    <t xml:space="preserve">A.10.1.3 Segregation of duties </t>
  </si>
  <si>
    <t>AC-5</t>
  </si>
  <si>
    <t xml:space="preserve">A.10.1.4 Separation of development, test and operational facilities </t>
  </si>
  <si>
    <t>CM-2</t>
  </si>
  <si>
    <t>A.14.1.5 Testing, maintaining and reassessing business continuity plans</t>
  </si>
  <si>
    <t xml:space="preserve">A.14.1.4 Business continuity planning framework </t>
  </si>
  <si>
    <t xml:space="preserve">A.14.1.2 Business continuity and risk assessment </t>
  </si>
  <si>
    <t>CP-2, PM-9, RA Family</t>
  </si>
  <si>
    <t xml:space="preserve">Does your institution have a process for revoking system and building access and returning assigned assets? </t>
  </si>
  <si>
    <t xml:space="preserve">Do agreements for external information system services specify appropriate security requirements? </t>
  </si>
  <si>
    <t xml:space="preserve">Is external information system services provider compliance with security controls monitored? </t>
  </si>
  <si>
    <t xml:space="preserve">Are external information system service agreements executed and routinely reviewed to ensure security requirements are current? </t>
  </si>
  <si>
    <t>Does your institution routinely test your restore procedures?</t>
  </si>
  <si>
    <t>Does your institution continuously monitor your wired and wireless networks for unauthorized access?</t>
  </si>
  <si>
    <t xml:space="preserve">Does your institution have a segmented network architecture to provide different levels of security based on the information's classification?
</t>
  </si>
  <si>
    <t xml:space="preserve">Are Internet-accessible servers protected by more than one security layer (firewalls, network IDS, host IDS, application IDS)? </t>
  </si>
  <si>
    <t>Does your institution record your log reviews (recertification/attestation)?</t>
  </si>
  <si>
    <t>Is there a policy in place to restrict the sharing of passwords?</t>
  </si>
  <si>
    <t xml:space="preserve">Does your institution have usage guidance established for mobile computing devices (regardless of ownership) that store, process, or transmit institutional data? </t>
  </si>
  <si>
    <t>Does your institution require encryption on mobile (i.e., laptops, tablets, etc.) computing devices?</t>
  </si>
  <si>
    <t>ISO</t>
  </si>
  <si>
    <t>NIST Controls</t>
  </si>
  <si>
    <t>A.10.2.1 Service delivery</t>
  </si>
  <si>
    <t>SA-9</t>
  </si>
  <si>
    <t>A.10.2.2 Monitoring and review of third-party services</t>
  </si>
  <si>
    <t xml:space="preserve">A.10.2.3 Managing changes to third-party services </t>
  </si>
  <si>
    <t>RA-3, SA-9, SA-10</t>
  </si>
  <si>
    <t>A.10.3.1 Capacity management</t>
  </si>
  <si>
    <t xml:space="preserve"> AU-4, AU-5, CP-2, SA-2, SC-5</t>
  </si>
  <si>
    <t xml:space="preserve">A.10.3.2 System acceptance </t>
  </si>
  <si>
    <t>CA-2, CA-6, CM-3, CM-4, CM-9, SA-11, SA-15, SA-17</t>
  </si>
  <si>
    <t xml:space="preserve">A.10.4.1 Controls against malicious code </t>
  </si>
  <si>
    <t>AC-19, AT-2, PE-20, SA-8, SC-2, SC-3, SC-7,SC-14, SC-38, SI-3, SI-7</t>
  </si>
  <si>
    <t xml:space="preserve">A.10.4.2 Controls against mobile code </t>
  </si>
  <si>
    <t>SA-8, SC-2, SC-3, SC-7, SC-14, SC-8, SC-18</t>
  </si>
  <si>
    <t>CP-9</t>
  </si>
  <si>
    <t>A.10.5.1 Information backup</t>
  </si>
  <si>
    <t xml:space="preserve">A.10.6.1 Network controls </t>
  </si>
  <si>
    <t>AC-4, AC-17, AC-18, AC-20, CA-3, CP-8, PE-5,SC-7, SC-8, SC-9, SC-10, SC-19, SC-20, SC-21, SC-22, SC-23</t>
  </si>
  <si>
    <t>A.10.6.2 Security of network services</t>
  </si>
  <si>
    <t>CA-3, SA-9, SC-8, SC-9</t>
  </si>
  <si>
    <t>A.10.7.2 Disposal of media</t>
  </si>
  <si>
    <t xml:space="preserve">A.10.7.4 Security of system documentation </t>
  </si>
  <si>
    <t>MP-4, SA-5</t>
  </si>
  <si>
    <t>A.10.7.1 Management of removable media</t>
  </si>
  <si>
    <t>PE-16,  MP Family</t>
  </si>
  <si>
    <t>SI-12,  MP Family</t>
  </si>
  <si>
    <t>A.10.7.3 Information handling procedures</t>
  </si>
  <si>
    <t>A.10.8.1 Information exchange policies and procedures</t>
  </si>
  <si>
    <t>AC-1, AC-3, AC-4, AC-17, AC-18, AC-20, CA-3, PL-4, PS-6, SC-7, SC-16, SI-9</t>
  </si>
  <si>
    <t xml:space="preserve">A.13.2.3 Collection of evidence </t>
  </si>
  <si>
    <t>AU-7, AU-9, IR-4</t>
  </si>
  <si>
    <t xml:space="preserve">A.13.2.2 Learning from information security incidents </t>
  </si>
  <si>
    <t>IR-4</t>
  </si>
  <si>
    <t>A.13.2.1 Responsibilities and procedures</t>
  </si>
  <si>
    <t xml:space="preserve"> IR-1</t>
  </si>
  <si>
    <t>A.13.2 Management of information security incidents and improvements</t>
  </si>
  <si>
    <t xml:space="preserve">A.13.1.2 Reporting security weaknesses </t>
  </si>
  <si>
    <t>PL-4, SI-2, SI-4, SI-5</t>
  </si>
  <si>
    <t xml:space="preserve">A.13.1.1 Reporting information security events </t>
  </si>
  <si>
    <t>AU-6, IR-1, IR-6, SI-4, SI-5</t>
  </si>
  <si>
    <t xml:space="preserve">A.12.6.1 Control of technical vulnerabilities </t>
  </si>
  <si>
    <t>RA-3, RA-5, SI-2, SI-5</t>
  </si>
  <si>
    <t xml:space="preserve">A.12.5.5 Outsourced software development </t>
  </si>
  <si>
    <t>CM-10, CM-11, SA-1, SA-4, SA-8, SA-9, SA-11, SA-12, SA-15, SA-17</t>
  </si>
  <si>
    <t>A.12.5.4 Information leakage</t>
  </si>
  <si>
    <t>AC-4, IR-9, PE-19</t>
  </si>
  <si>
    <t xml:space="preserve">A.12.5.3 Restrictions on changes to software packages </t>
  </si>
  <si>
    <t>CM-3, CM-4, CM-5, CM-9</t>
  </si>
  <si>
    <t>A.12.5.2 Technical review of applications after operating system changes</t>
  </si>
  <si>
    <t>A.12.5.1 Change control procedures</t>
  </si>
  <si>
    <t>CM-1, CM-3, CM-9, SA-10</t>
  </si>
  <si>
    <t xml:space="preserve">A.12.4.3 Access control to program source code </t>
  </si>
  <si>
    <t>AC-3, AC-6, CM-5, CM-9, MA-5, SA-10</t>
  </si>
  <si>
    <t>A.12.4.2 Protection of system test data Multiple controls; protection of test data not addressed separately in SP 800-53 (e.g., AC-3, AC-4)</t>
  </si>
  <si>
    <t xml:space="preserve">A.12.4.1 Control of operational software </t>
  </si>
  <si>
    <t>CM-1, CM-2, CM-3, CM-4, CM-5, CM-9, CM-10, CM-11, PL-4</t>
  </si>
  <si>
    <t>A.12.3.2 Key management</t>
  </si>
  <si>
    <t xml:space="preserve"> SC-12, SC-17</t>
  </si>
  <si>
    <t>A.12.3.1 Policy on the use of cryptographic controls</t>
  </si>
  <si>
    <t xml:space="preserve"> Multiple controls address cryptography (e.g., IA-7, SC-8, SC-9, SC-12, SC-13)</t>
  </si>
  <si>
    <t>SI-7</t>
  </si>
  <si>
    <t>A.12.2.4 Output data validation</t>
  </si>
  <si>
    <t xml:space="preserve">A.12.2.3 Message integrity </t>
  </si>
  <si>
    <t>AU-10, SC-8, SC-23, SI-7</t>
  </si>
  <si>
    <t xml:space="preserve">A.12.2.2 Control of internal processing </t>
  </si>
  <si>
    <t>SI-7, SI-9, SI-10</t>
  </si>
  <si>
    <t xml:space="preserve">A.12.2.1 Input data validation </t>
  </si>
  <si>
    <t>SI-10</t>
  </si>
  <si>
    <t xml:space="preserve">A.12.1.1 Security requirements analysis and specification </t>
  </si>
  <si>
    <t>PL-7, PL-8, SA-1, SA-3, SA-4</t>
  </si>
  <si>
    <t>A.12 Information systems acquisition, development and maintenance</t>
  </si>
  <si>
    <t xml:space="preserve">A.11.7.2 Teleworking </t>
  </si>
  <si>
    <t>AC-1, AC-4, AC-17, AC-18, PE-17, PL-4, PS-6</t>
  </si>
  <si>
    <t xml:space="preserve">A.11.7.1 Mobile computing and communications </t>
  </si>
  <si>
    <t>AC-1, AC-17, AC-18, AC-19, PL-4, PS-6</t>
  </si>
  <si>
    <t xml:space="preserve">A.11.6.2 Sensitive system isolation </t>
  </si>
  <si>
    <t>SC-7; SP 800-39</t>
  </si>
  <si>
    <t>A.11.6.1 Information access restriction</t>
  </si>
  <si>
    <t>AC-3, AC-6, AC-14, CM-5</t>
  </si>
  <si>
    <t>A.11.5.6 Limitation of connection time</t>
  </si>
  <si>
    <t>AC-2</t>
  </si>
  <si>
    <t xml:space="preserve">A.11.5.1 Secure log-on procedures </t>
  </si>
  <si>
    <t>AC-7, AC-8, AC-9, AC-10, IA-2, IA-6, IA-8, SC-10</t>
  </si>
  <si>
    <t xml:space="preserve">A.11.5.2 User identification and authentication </t>
  </si>
  <si>
    <t>IA-2, IA-4, IA-5, IA-8</t>
  </si>
  <si>
    <t>A.11.5.3 Password management system</t>
  </si>
  <si>
    <t xml:space="preserve">A.11.5.4 Use of system utilities </t>
  </si>
  <si>
    <t>AC-3, AC-6</t>
  </si>
  <si>
    <t>IA-2, IA-5</t>
  </si>
  <si>
    <t xml:space="preserve">A.11.5.5 Session time-out </t>
  </si>
  <si>
    <t>AC-11, SC-10</t>
  </si>
  <si>
    <t>A.11.4.7 Network routing control</t>
  </si>
  <si>
    <t>AC-4, AC-17, AC-18</t>
  </si>
  <si>
    <t xml:space="preserve">A.11.4.6 Network connection control </t>
  </si>
  <si>
    <t>AC-3, AC-6, AC-17, AC-18, SC-7</t>
  </si>
  <si>
    <t xml:space="preserve">A.11.4.4 Remote diagnostic and configuration port protection </t>
  </si>
  <si>
    <t>AC-3, AC-6, AC-17, AC-18, PE-3, MA-3, MA-4</t>
  </si>
  <si>
    <t xml:space="preserve">A.11.4.5 Segregation in networks </t>
  </si>
  <si>
    <t>AC-19, IA-3</t>
  </si>
  <si>
    <t>A.11.4.3 Equipment identification in networks</t>
  </si>
  <si>
    <t xml:space="preserve">A.11.4.2 User authentication for external connections </t>
  </si>
  <si>
    <t>AC-17, AC-18, AC-20, CA-3, IA-2, IA-8</t>
  </si>
  <si>
    <t xml:space="preserve">A.11.4.1 Policy on use of network services </t>
  </si>
  <si>
    <t>AC-1, AC-5, AC-6, AC-17, AC-18, AC-20</t>
  </si>
  <si>
    <t>CA-3, SA-9</t>
  </si>
  <si>
    <t>MP-5</t>
  </si>
  <si>
    <t>A.10.8.2 Exchange agreements</t>
  </si>
  <si>
    <t>A.10.8.3 Physical media in transit</t>
  </si>
  <si>
    <t>CA-1, CA-3</t>
  </si>
  <si>
    <t>A.10.8.5 Business information systems</t>
  </si>
  <si>
    <t xml:space="preserve">A.10.9.1 Electronic commerce </t>
  </si>
  <si>
    <t>AU-10, IA-8, SC-7, SC-8, SC-9, SC-3, SC-14</t>
  </si>
  <si>
    <t>A.10.9.2 Online transactions</t>
  </si>
  <si>
    <t>SC-3, SC-7, SC-8, SC-9, SC-14</t>
  </si>
  <si>
    <t>SC-14</t>
  </si>
  <si>
    <t>A.10.9.3 Publicly available information</t>
  </si>
  <si>
    <t xml:space="preserve">A.10.10.1 Audit logging </t>
  </si>
  <si>
    <t>AU-1, AU-2, AU-3, AU-4, AU-5, AU-8, AU-11, AU-12</t>
  </si>
  <si>
    <t xml:space="preserve">A.10.10.2 Monitoring system use </t>
  </si>
  <si>
    <t>AU-1, AU-6, AU-7, PE-6, PE-8, SC-7, SI-4</t>
  </si>
  <si>
    <t>AU-2, AU-12</t>
  </si>
  <si>
    <t>AU-2, AU-12, SI-2</t>
  </si>
  <si>
    <t>AU-8</t>
  </si>
  <si>
    <t>A.10.10.3 Protection of log information</t>
  </si>
  <si>
    <t>A.10.10.4 Administrator and operator logs</t>
  </si>
  <si>
    <t>A.10.10.5 Fault logging</t>
  </si>
  <si>
    <t>A.10.10.6 Clock synchronization</t>
  </si>
  <si>
    <t xml:space="preserve">A.11.1.1 Access control policy </t>
  </si>
  <si>
    <t>AC-1, AC-5, AC-6, AC-17, AC-18, AC-19, CM-5, MP-1, SI-9</t>
  </si>
  <si>
    <t xml:space="preserve">A.11.2.1 User registration </t>
  </si>
  <si>
    <t>AC-1, AC-2, AC-21, IA-5, PE-1, PE-2</t>
  </si>
  <si>
    <t>A.11.2.2 Privilege management</t>
  </si>
  <si>
    <t>IA-5</t>
  </si>
  <si>
    <t>AC-1, AC-2, AC-6, AC-21, PE-1, PE-2, SI-9</t>
  </si>
  <si>
    <t>AC-2, PE-2</t>
  </si>
  <si>
    <t>A.11.2.3 User password management</t>
  </si>
  <si>
    <t>A.11.2.4 Review of user access rights</t>
  </si>
  <si>
    <t xml:space="preserve">A.11.3.2 Unattended user equipment </t>
  </si>
  <si>
    <t>AC-11, IA-2, PE-3, PE-5, PE-18, SC-10</t>
  </si>
  <si>
    <t>AC-11, MP-4</t>
  </si>
  <si>
    <t>A.11.3.3 Clear desk and clear screen policy</t>
  </si>
  <si>
    <t>A.11.3.1 Password use</t>
  </si>
  <si>
    <t>XX-1 controls, PM-2, PM-3, PM-9; SP 800-39,SP 800-37</t>
  </si>
  <si>
    <t xml:space="preserve">A.6.1.6 Contact with authorities </t>
  </si>
  <si>
    <t>Multiple controls with contact reference (e.g.,IR-6, SI-5), SP 800-39; SP 800-37</t>
  </si>
  <si>
    <t xml:space="preserve">A.10.8.4 Electronic messaging </t>
  </si>
  <si>
    <t>Multiple controls; electronic messaging not addressed separately in SP 800-53</t>
  </si>
  <si>
    <t>A.14.1 Information security aspects of business continuity management</t>
  </si>
  <si>
    <t>A.14.1.1 Including information security in the business continuity management process</t>
  </si>
  <si>
    <t>A.14.1.3 Developing and implementing continuity plans including information security</t>
  </si>
  <si>
    <t>A.15.2 Compliance with security policies and standards, and technical compliance</t>
  </si>
  <si>
    <t>NIST Family</t>
  </si>
  <si>
    <t>CA-2, CA-7; SP 800-39, SP 800-37</t>
  </si>
  <si>
    <t>Definitions</t>
  </si>
  <si>
    <t xml:space="preserve">Assess an institution's safeguards and processes for ensuring that all employees (including contractors and any user of sensitive data) are qualified for and understand their roles and responsibilities of their job duties and that access is removed once employment is terminated. </t>
  </si>
  <si>
    <t>Assess how an institution expresses its intent with regard to information security.</t>
  </si>
  <si>
    <t>Assess an institution’s formalized policies, procedures, and controls, which assist in data and system protection.</t>
  </si>
  <si>
    <t>Assess an institution’s business continuity management. A mature institution has a managed, organized method for the development of procedures to ensure the continuity of operations under extraordinary circumstances including the maintenance of measures to ensure the privacy and security of its information resources.</t>
  </si>
  <si>
    <r>
      <t xml:space="preserve">There are </t>
    </r>
    <r>
      <rPr>
        <b/>
        <sz val="12"/>
        <color theme="1"/>
        <rFont val="Calibri"/>
        <family val="2"/>
        <scheme val="minor"/>
      </rPr>
      <t>no security controls or plans in place</t>
    </r>
    <r>
      <rPr>
        <sz val="12"/>
        <color theme="1"/>
        <rFont val="Calibri"/>
        <family val="2"/>
        <scheme val="minor"/>
      </rPr>
      <t>. The controls are nonexistent.</t>
    </r>
  </si>
  <si>
    <r>
      <t xml:space="preserve">Base practices of the control area are generally performed on an </t>
    </r>
    <r>
      <rPr>
        <b/>
        <sz val="12"/>
        <color theme="1"/>
        <rFont val="Calibri"/>
        <family val="2"/>
        <scheme val="minor"/>
      </rPr>
      <t>ad hoc</t>
    </r>
    <r>
      <rPr>
        <sz val="12"/>
        <color theme="1"/>
        <rFont val="Calibri"/>
        <family val="2"/>
        <scheme val="minor"/>
      </rPr>
      <t xml:space="preserve"> basis. There is general agreement within the organization that identified actions should be performed, and they are performed when required.  The practices are not formally adopted, tracked, and reported on.</t>
    </r>
  </si>
  <si>
    <t>Does your institution have a process for identifying and assessing reasonably foreseeable internal and external risks to the security, confidentiality, and/or integrity of any electronic, paper, or other records containing sensitive information?</t>
  </si>
  <si>
    <t xml:space="preserve">Is responsibility clearly assigned for all areas of the information security architecture, compliance, processes, and audits? </t>
  </si>
  <si>
    <t>Is there a formal process for having the individual with information security responsibility assess and sign off on appropriate hardware, software, and services, ensuring they follow security policies and requirements?</t>
  </si>
  <si>
    <t xml:space="preserve">Does your institution classify information to indicate the appropriate levels of information security? </t>
  </si>
  <si>
    <t xml:space="preserve">Do the information security programs clearly state responsibilities, liabilities, and consequences? </t>
  </si>
  <si>
    <t>Are changes to information systems tested, authorized, and reported?</t>
  </si>
  <si>
    <t xml:space="preserve">Does your institution have an access control policy for authorizing and revoking access rights to information systems? 
</t>
  </si>
  <si>
    <t>Number of employees with information security role</t>
  </si>
  <si>
    <t>Privilege Management (covered by #2)</t>
  </si>
  <si>
    <t xml:space="preserve">Does your institution employ specific measures to secure remote access services? </t>
  </si>
  <si>
    <t>Does your institution have a process in place for assessing that external information system providers comply with appropriate security requirements?</t>
  </si>
  <si>
    <t xml:space="preserve">Are methods used to detect, quarantine, and eradicate known malicious code on information systems including workstations, servers, and mobile computing devices? </t>
  </si>
  <si>
    <t>Monitoring and review of third-party services</t>
  </si>
  <si>
    <t>Have standards been established that address secure coding practices (e.g., input validation, proper error handling, session management, etc.), and take into consideration common application security vulnerabilities (e.g., CSRF, XSS, code injection, etc.)?</t>
  </si>
  <si>
    <t>Detailed measures of performance are collected and analyzed. This leads to a quantitative understanding of process capability and an improved ability to predict performance. Performance is objectively managed, and the quality of work products is quantitatively known. The primary distinction from the Well Defined level is that the defined process is quantitatively understood and controlled.</t>
  </si>
  <si>
    <r>
      <t xml:space="preserve">The primary distinction from Level 2, Planned and Tracked, is that in addition to being </t>
    </r>
    <r>
      <rPr>
        <b/>
        <sz val="12"/>
        <color theme="1"/>
        <rFont val="Calibri"/>
        <family val="2"/>
        <scheme val="minor"/>
      </rPr>
      <t>repeatable</t>
    </r>
    <r>
      <rPr>
        <sz val="12"/>
        <color theme="1"/>
        <rFont val="Calibri"/>
        <family val="2"/>
        <scheme val="minor"/>
      </rPr>
      <t xml:space="preserve"> the processes used are more mature:</t>
    </r>
    <r>
      <rPr>
        <b/>
        <sz val="12"/>
        <color theme="1"/>
        <rFont val="Calibri"/>
        <family val="2"/>
        <scheme val="minor"/>
      </rPr>
      <t xml:space="preserve"> documented</t>
    </r>
    <r>
      <rPr>
        <sz val="12"/>
        <color theme="1"/>
        <rFont val="Calibri"/>
        <family val="2"/>
        <scheme val="minor"/>
      </rPr>
      <t xml:space="preserve">, </t>
    </r>
    <r>
      <rPr>
        <b/>
        <sz val="12"/>
        <color theme="1"/>
        <rFont val="Calibri"/>
        <family val="2"/>
        <scheme val="minor"/>
      </rPr>
      <t>approved, and implemented organization-wide</t>
    </r>
    <r>
      <rPr>
        <sz val="12"/>
        <color theme="1"/>
        <rFont val="Calibri"/>
        <family val="2"/>
        <scheme val="minor"/>
      </rPr>
      <t>.</t>
    </r>
  </si>
  <si>
    <t>ISO 8: Human Resources Security</t>
  </si>
  <si>
    <t xml:space="preserve">ISO 9: Physical and Environmental Security </t>
  </si>
  <si>
    <t xml:space="preserve">ISO 10: Communications and Operations Management </t>
  </si>
  <si>
    <t>ISO 13: Information Security Incident Management</t>
  </si>
  <si>
    <t xml:space="preserve">ISO 14: Business Continuity Management </t>
  </si>
  <si>
    <t>Assess the risk management process as it relates to creating an information security strategy and program. Information security risk management is a major subset of the risk management process, which includes not only assessing information security risks to the institution but also determining appropriate management action and setting priorities for managing and implementing controls to protect against those risks.</t>
  </si>
  <si>
    <t>Assess how an institution manages its information security across the entire enterprise, including how the institutional leadership commits its support and provides overall direction.</t>
  </si>
  <si>
    <t xml:space="preserve">ISO 12: Information Systems Acquisition, Development, and Maintenance </t>
  </si>
  <si>
    <t>Not Performed</t>
  </si>
  <si>
    <t xml:space="preserve">Does your institution conduct specialized role-based training? 
</t>
  </si>
  <si>
    <t>Does your institution follow vendor-recommended guidance for maintaining equipment?</t>
  </si>
  <si>
    <t>Are methods used to detect and eradicate known malicious code transported by electronic mail, the web, or removable media?</t>
  </si>
  <si>
    <t>Does your institution have policies and procedures in place to protect exchanged information (within your organization and in third-party agreements) from interception, copying, modification, misrouting, and destruction?</t>
  </si>
  <si>
    <t>Does your institution ensure that user access to diagnostic and configuration ports is restricted to authorized individuals and applications?</t>
  </si>
  <si>
    <t>Are file-integrity monitoring tools used to alert personnel to unauthorized modification of critical system files, configuration files, or content files and to configure the software to perform critical file comparisons at least weekly?</t>
  </si>
  <si>
    <t xml:space="preserve">Does your institution have a documented business continuity plan for information technology that is based on a business impact analysis, is periodically tested, and has been reviewed and approved by senior staff or the board of trustees?
</t>
  </si>
  <si>
    <t>Do your policies indicate when encryption should be used (e.g., at rest, in transit, with sensitive or confidential data, etc.)?</t>
  </si>
  <si>
    <t>Are standard operating procedures periodically evaluated for compliance with your organization's security policies, standards, and procedures?</t>
  </si>
  <si>
    <t>Assess an institution's asset management program. Does it include ways to identify, track, classify, and assign ownership for the most important assets to ensure they are adequately protected?</t>
  </si>
  <si>
    <t xml:space="preserve">Does your organization have academic or research programs in a sensitive area that may make you a target of physical or cyberattack from any groups (e.g., ITAR, human subjects, DoD-sponsored applied research, etc.)? </t>
  </si>
  <si>
    <t>Number of employees</t>
  </si>
  <si>
    <t>Estimated annual budget for information security</t>
  </si>
  <si>
    <t>Number of students</t>
  </si>
  <si>
    <t>Do all individuals interacting with university systems receive information security awareness training?</t>
  </si>
  <si>
    <t xml:space="preserve">Does your institution have a media-sanitization process that is applied to equipment prior to disposal, reuse, or release?
</t>
  </si>
  <si>
    <t xml:space="preserve">Is your data backup process frequency consistent with the availability requirements of your organization? </t>
  </si>
  <si>
    <t>Does your institution use appropriate/vetted encryption methods to protect sensitive data in transit?</t>
  </si>
  <si>
    <t>Does your institution have a process for routinely monitoring logs to detect unauthorized and anomalous activities?</t>
  </si>
  <si>
    <t>Are steps taken to secure log data to prevent unauthorized access and tampering?</t>
  </si>
  <si>
    <t>Does your institution require the use of confidentiality or nondisclosure agreements for employees and third parties?</t>
  </si>
  <si>
    <t>THE END -- overall average ------&gt;</t>
  </si>
  <si>
    <t>Assess an institution's steps taken to protect systems, buildings, and related supporting infrastructure against threats associated with their physical environment.</t>
  </si>
  <si>
    <t>Percentage of information security operations outsourced? (contractors, managed security services, cloud)</t>
  </si>
  <si>
    <r>
      <t>The base requirements for the control area are planned, implemented,</t>
    </r>
    <r>
      <rPr>
        <sz val="12"/>
        <color theme="1"/>
        <rFont val="Calibri"/>
        <family val="2"/>
        <scheme val="minor"/>
      </rPr>
      <t xml:space="preserve"> and </t>
    </r>
    <r>
      <rPr>
        <b/>
        <sz val="12"/>
        <color theme="1"/>
        <rFont val="Calibri"/>
        <family val="2"/>
        <scheme val="minor"/>
      </rPr>
      <t>repeatable</t>
    </r>
    <r>
      <rPr>
        <sz val="12"/>
        <color theme="1"/>
        <rFont val="Calibri"/>
        <family val="2"/>
        <scheme val="minor"/>
      </rPr>
      <t xml:space="preserve">. </t>
    </r>
  </si>
  <si>
    <t>yes</t>
  </si>
  <si>
    <t>no</t>
  </si>
  <si>
    <t>less than 5,000</t>
  </si>
  <si>
    <t>10,000-20,000</t>
  </si>
  <si>
    <t>1 to 5</t>
  </si>
  <si>
    <t>less than 1,000</t>
  </si>
  <si>
    <t>2,100 to 3,000</t>
  </si>
  <si>
    <t>ISO 21827 https://www.sabs.co.za/content/uploads/files/SANS21827%28colour%29.pdf</t>
  </si>
  <si>
    <t xml:space="preserve">Does your institution maintain relationships with local authorities? 
</t>
  </si>
  <si>
    <t>Does your institution participate with local or national security groups (e.g., REN-ISAC, EDUCAUSE, InfraGard, Information Systems Security Association, etc.)?</t>
  </si>
  <si>
    <t>ISG (ECAR)</t>
  </si>
  <si>
    <t>Not Implemented</t>
  </si>
  <si>
    <t>Planning Stages</t>
  </si>
  <si>
    <t>Partially Implemented</t>
  </si>
  <si>
    <t>Close to Completion</t>
  </si>
  <si>
    <t>Fully Implemented</t>
  </si>
  <si>
    <t xml:space="preserve">Does your institution have a process in place for granting and revoking appropriate user access?
</t>
  </si>
  <si>
    <t>Does your institution have an information security policy that has been approved by management?</t>
  </si>
  <si>
    <t xml:space="preserve">Has it been published and communicated to all relevant parties? 
</t>
  </si>
  <si>
    <t>Total Score for ISO 6 -&gt;</t>
  </si>
  <si>
    <t>Total Score for ISO 4 -&gt;</t>
  </si>
  <si>
    <t>Total Score for ISO 5-&gt;</t>
  </si>
  <si>
    <t>Total Score for ISO 7-&gt;</t>
  </si>
  <si>
    <t>Total Score for ISO 8-&gt;</t>
  </si>
  <si>
    <t>Total Score for ISO 9-&gt;</t>
  </si>
  <si>
    <t>Total Score for ISO 10-&gt;</t>
  </si>
  <si>
    <t>Total Score for ISO 11-&gt;</t>
  </si>
  <si>
    <t>Enterprise Information Security Program</t>
  </si>
  <si>
    <t>CMMI</t>
  </si>
  <si>
    <t>NIST</t>
  </si>
  <si>
    <t>COBIT</t>
  </si>
  <si>
    <t>Non-existent</t>
  </si>
  <si>
    <t>Ad hoc</t>
  </si>
  <si>
    <t>Documented Policy</t>
  </si>
  <si>
    <t>Initial/Ad-hoc</t>
  </si>
  <si>
    <t>Repeatable</t>
  </si>
  <si>
    <t>Documented Procedures</t>
  </si>
  <si>
    <t>Repeatable but Intuitive</t>
  </si>
  <si>
    <t>Defined &amp; Implemented</t>
  </si>
  <si>
    <t>Procedures &amp; Controls</t>
  </si>
  <si>
    <t>Defined Process</t>
  </si>
  <si>
    <t>Managed</t>
  </si>
  <si>
    <t>Measured Program</t>
  </si>
  <si>
    <t>Managed &amp; Measurable</t>
  </si>
  <si>
    <t>Optimized</t>
  </si>
  <si>
    <t>Pervasive Program</t>
  </si>
  <si>
    <r>
      <rPr>
        <sz val="7"/>
        <color theme="1"/>
        <rFont val="Times New Roman"/>
        <family val="1"/>
      </rPr>
      <t xml:space="preserve"> </t>
    </r>
    <r>
      <rPr>
        <sz val="11.5"/>
        <color theme="1"/>
        <rFont val="Calibri"/>
        <family val="2"/>
        <scheme val="minor"/>
      </rPr>
      <t xml:space="preserve">Optimized </t>
    </r>
  </si>
  <si>
    <t>Security Policy (ISO 5)</t>
  </si>
  <si>
    <t xml:space="preserve">Asset Management (ISO 7) </t>
  </si>
  <si>
    <t>Human Resource Security (ISO 8)</t>
  </si>
  <si>
    <t>Physical and Environmental Security (ISO 9)</t>
  </si>
  <si>
    <t>Communications and Operations Management (ISO 10)</t>
  </si>
  <si>
    <t>Access Control (ISO 11)</t>
  </si>
  <si>
    <t>Information Systems Acquisition, Development, and Maintenance (ISO 12)</t>
  </si>
  <si>
    <t>Information Security Incident Management (ISO 13)</t>
  </si>
  <si>
    <r>
      <t>Business Continuity Management (ISO 14)</t>
    </r>
    <r>
      <rPr>
        <b/>
        <sz val="18"/>
        <color rgb="FF00B050"/>
        <rFont val="Calibri"/>
        <family val="2"/>
        <scheme val="minor"/>
      </rPr>
      <t/>
    </r>
  </si>
  <si>
    <t>Compliance (ISO 15)</t>
  </si>
  <si>
    <t>Planned</t>
  </si>
  <si>
    <t>5.1.1</t>
  </si>
  <si>
    <t>5.1.2</t>
  </si>
  <si>
    <t>6.1.1</t>
  </si>
  <si>
    <t>6.1.2</t>
  </si>
  <si>
    <t>6.1.3</t>
  </si>
  <si>
    <t>6.1.4</t>
  </si>
  <si>
    <t>6.1.5</t>
  </si>
  <si>
    <t>6.1.6</t>
  </si>
  <si>
    <t>6.1.7</t>
  </si>
  <si>
    <t>6.1.8</t>
  </si>
  <si>
    <t>6.2.1</t>
  </si>
  <si>
    <t>6.2.2</t>
  </si>
  <si>
    <t>7.1.1</t>
  </si>
  <si>
    <t>7.2.1</t>
  </si>
  <si>
    <t>8.2.1</t>
  </si>
  <si>
    <t>8.2.2</t>
  </si>
  <si>
    <t>8.2.3</t>
  </si>
  <si>
    <t>8.3.1</t>
  </si>
  <si>
    <t>8.3.2
8.3.3</t>
  </si>
  <si>
    <t>9.1.2</t>
  </si>
  <si>
    <t>9.1.4</t>
  </si>
  <si>
    <t>9.1.5</t>
  </si>
  <si>
    <t>9.2.4</t>
  </si>
  <si>
    <t>9.2.6</t>
  </si>
  <si>
    <t>9.2.7</t>
  </si>
  <si>
    <t>10.1.1</t>
  </si>
  <si>
    <t>10.1.2</t>
  </si>
  <si>
    <t>10.1.3</t>
  </si>
  <si>
    <t>10.1.4</t>
  </si>
  <si>
    <t>10.2.1</t>
  </si>
  <si>
    <t>10.2.2</t>
  </si>
  <si>
    <t>10.3.1</t>
  </si>
  <si>
    <t>10.4.1</t>
  </si>
  <si>
    <t>10.5.1</t>
  </si>
  <si>
    <t>10.6.1</t>
  </si>
  <si>
    <t>10.7.1
10.7.3</t>
  </si>
  <si>
    <t>10.8.1</t>
  </si>
  <si>
    <t xml:space="preserve">10.9.1
10.9.2 </t>
  </si>
  <si>
    <t>10.10.1</t>
  </si>
  <si>
    <t>10.10.2</t>
  </si>
  <si>
    <t>10.10.4</t>
  </si>
  <si>
    <t>10.10.5</t>
  </si>
  <si>
    <t>10.10.6</t>
  </si>
  <si>
    <t>11.1.1</t>
  </si>
  <si>
    <t>11.2.1</t>
  </si>
  <si>
    <t>11.2.2</t>
  </si>
  <si>
    <t>11.2.3</t>
  </si>
  <si>
    <t>11.2.4</t>
  </si>
  <si>
    <t>11.4.2</t>
  </si>
  <si>
    <t>11.4.4</t>
  </si>
  <si>
    <t>11.4.6</t>
  </si>
  <si>
    <t>11.4.7</t>
  </si>
  <si>
    <t>11.5.1</t>
  </si>
  <si>
    <t>11.5.2</t>
  </si>
  <si>
    <t>11.5.3</t>
  </si>
  <si>
    <t>11.5.4</t>
  </si>
  <si>
    <t>11.6.2</t>
  </si>
  <si>
    <t>11.7.1</t>
  </si>
  <si>
    <t>11.7.2</t>
  </si>
  <si>
    <t>12.1.1</t>
  </si>
  <si>
    <t>12.2.1</t>
  </si>
  <si>
    <t>12.2.2</t>
  </si>
  <si>
    <t>12.2.3</t>
  </si>
  <si>
    <t>12.2.4</t>
  </si>
  <si>
    <t>12.3.1</t>
  </si>
  <si>
    <t>12.3.2</t>
  </si>
  <si>
    <t>12.4.1</t>
  </si>
  <si>
    <t>12.4.2</t>
  </si>
  <si>
    <t>12.4.3</t>
    <phoneticPr fontId="9" type="noConversion"/>
  </si>
  <si>
    <t>12.5.1</t>
  </si>
  <si>
    <t>12.5.2</t>
  </si>
  <si>
    <t>12.5.4</t>
  </si>
  <si>
    <t>12.5.5</t>
  </si>
  <si>
    <t>12.6.1</t>
  </si>
  <si>
    <t>13.1.1
13.1.2</t>
  </si>
  <si>
    <t>13.2.3</t>
  </si>
  <si>
    <t>14.1.1</t>
  </si>
  <si>
    <t>15.1.3</t>
  </si>
  <si>
    <t>15.1.4</t>
  </si>
  <si>
    <t>15.1.5</t>
  </si>
  <si>
    <t>15.1.6</t>
  </si>
  <si>
    <t>15.2.1</t>
  </si>
  <si>
    <t>15.2.2</t>
  </si>
  <si>
    <t>15.3.1</t>
  </si>
  <si>
    <t>15.3.2</t>
  </si>
  <si>
    <t>Assessment Questions</t>
  </si>
  <si>
    <t>Assessment Tool Questions* Mapped to ISO and NIST**</t>
  </si>
  <si>
    <t>**NIST to ISO mapping from http://csrc.nist.gov/publications/drafts/800-53-rev4/sp800-53-rev4-ipd.pdf</t>
  </si>
  <si>
    <t>* Direct mappings are listed above. In some cases questions were formed that covered more than one ISO area making one-to-one mapping difficult.</t>
  </si>
  <si>
    <t xml:space="preserve">Organization of Information Security (ISO 6) </t>
  </si>
  <si>
    <t>Does your institution have a process in place to ensure data related to electronic commerce (e-commerce) traversing public networks is protected from fraudulent activity, unauthorized disclosure, or modification?</t>
  </si>
  <si>
    <t xml:space="preserve">Risk Management (ISO 4) </t>
  </si>
  <si>
    <t xml:space="preserve">Does your institution have procedures to regularly review users' access to ensure only needed privileges are applied? </t>
  </si>
  <si>
    <t>Including information security in Business continuity management process</t>
  </si>
  <si>
    <t xml:space="preserve">This section is designed to help you benchmark your information security Program against universities of similar size, budget, and characteristics. </t>
  </si>
  <si>
    <t>Have you established procedures for maintaining source code during the development life cycle and while in production to reduce the risk of software corruption?</t>
  </si>
  <si>
    <t>Does your institution have a records management or data governance policy that addresses the life cycle of both paper and electronic records at your institution?</t>
  </si>
  <si>
    <t xml:space="preserve">Does your institution have a risk management program? </t>
  </si>
  <si>
    <t xml:space="preserve">Does your organization conduct routine risk assessments to identify the key objectives that need to be supported by your information security program? </t>
  </si>
  <si>
    <t>Does your institution have an individual with enterprise-wide (campus) information security responsibility and authority written in their job description, or equivalent? Note: This may be the CIO, CISO, CSO, or other.</t>
  </si>
  <si>
    <t>Does your institution have a process for revoking system access when there is a position change or when responsibilities change?</t>
  </si>
  <si>
    <t xml:space="preserve">Do your institution's data centers include controls to ensure that only authorized parties are allowed physical access? 
</t>
  </si>
  <si>
    <t>Does your institution have preventative measures in place to protect critical hardware and wiring from natural and man-made threats?</t>
  </si>
  <si>
    <t xml:space="preserve">Does your institution have an authorization system that enforces time limits lockout on login failure and defaults to minimum privileges? </t>
  </si>
  <si>
    <t>Does your institution have a telework policy that addresses multifactor access and security requirements for the end point used?</t>
  </si>
  <si>
    <t>Are incident-handling procedures in place to report and respond to security events throughout the incident life cycle, including the definition of roles and responsibilities?</t>
  </si>
  <si>
    <t>Value</t>
  </si>
  <si>
    <t>Description</t>
  </si>
  <si>
    <t>Item Score</t>
  </si>
  <si>
    <t>Category Score</t>
  </si>
  <si>
    <t xml:space="preserve">
</t>
    <phoneticPr fontId="35" type="noConversion"/>
  </si>
  <si>
    <t xml:space="preserve">
</t>
    <phoneticPr fontId="35" type="noConversion"/>
  </si>
  <si>
    <t>Help</t>
    <phoneticPr fontId="35" type="noConversion"/>
  </si>
  <si>
    <t>Name of department or institution (if applicable):</t>
  </si>
  <si>
    <t>Name of person completing assessment:</t>
  </si>
  <si>
    <t>Date completed</t>
  </si>
  <si>
    <t>Are requirements addressed and remediated prior to granting access to data, assets, and information systems?</t>
  </si>
  <si>
    <t>This tool can be used to assess an enterprise information security program, department, or other.  Please select from the drop down box -&gt;</t>
  </si>
  <si>
    <t xml:space="preserve">The self-assessment has been designed to be completed annually or at the frequency your insitution feels is appropriate to track maturity. The assessment tool uses the ISO framework for scoring maturing, which scales from 0 to 5, with 5 being the highest level of maturity. Your insitution can achieve the same maturity rating by substituting COBIT, NIST, CMMI, or another maturity framework, that may be more familiar, with the same numeric 0 through 5 score. Answer each question by selecting the appropriate level of maturity, 0–5. Each ISO section will be added up then averaged to provide a maturity assessment for the given section. Definitions for the ISO maturity levels can be found on the "Score Definitions" tab of the spreadsheet.
Not Performed = 0; 
Performed Informally = 1; 
Planned = 2; 
Well Defined = 3; 
Quantitatively Controlled = 4; 
Continuously Improving = 5
Below is a summary of the focus of each section and scoring to be used for that section. The same information is included at the beginning of each section. 
Please send any feedback to security-feedback@educause.edu. 
</t>
  </si>
  <si>
    <t>Total Score for ISO 12-&gt;</t>
  </si>
  <si>
    <t>Total Score for ISO 13-&gt;</t>
  </si>
  <si>
    <t>Total Score for ISO 14-&gt;</t>
  </si>
  <si>
    <t>Total Score for ISO 15-&gt;</t>
  </si>
  <si>
    <r>
      <rPr>
        <b/>
        <sz val="11"/>
        <rFont val="Calibri"/>
        <family val="2"/>
        <scheme val="minor"/>
      </rPr>
      <t>How to Use This Tool</t>
    </r>
    <r>
      <rPr>
        <sz val="11"/>
        <rFont val="Calibri"/>
        <family val="2"/>
        <scheme val="minor"/>
      </rPr>
      <t xml:space="preserve">
This assessment tool was created to evaluate the maturity of higher education information security programs using as a framework the International Organization for Standardization (ISO) 27002 "Information technology Security techniques. Code of practice for information security management." This tool was intended for use by an institution as a whole, although a unit within an institution may also use it to help determine the maturity of its individual information security program. Unless otherwise noted, it should be completed by chief information officer, chief information security officer or equivalent, or a designee. There are a total of 103</t>
    </r>
    <r>
      <rPr>
        <sz val="11"/>
        <color rgb="FFFF0000"/>
        <rFont val="Calibri"/>
        <family val="2"/>
        <scheme val="minor"/>
      </rPr>
      <t xml:space="preserve"> </t>
    </r>
    <r>
      <rPr>
        <sz val="11"/>
        <rFont val="Calibri"/>
        <family val="2"/>
        <scheme val="minor"/>
      </rPr>
      <t xml:space="preserve">questions and on average it takes about 2 hours for an information security officer or equivalent, familiar with their environment, to complete this tool.
</t>
    </r>
  </si>
  <si>
    <t>Does your institution prohibit use of generic accounts with privileged access to systems?</t>
  </si>
  <si>
    <t>Are there processes in place to detect the unauthorized removal of equipment, information, or software?</t>
  </si>
  <si>
    <t>Not Applicable</t>
  </si>
  <si>
    <t>Blank</t>
  </si>
  <si>
    <t>Does your institution have a process for posture checking, such as current antivirus software, firewall enabled, OS patch level, etc., of devices as they connect to your network?</t>
  </si>
  <si>
    <t xml:space="preserve">Does your institution employ technologies to block or restrict unencrypted sensitive information from traveling to untrusted networks? </t>
  </si>
  <si>
    <t>Not Performed = 0; Performed Informally = 1; 
Planned = 2; Well Defined = 3; 
Quantitatively Controlled = 4; Continuously Improving = 5; Not Applicable = Blank
NOTE: 5 is the highest level of maturity</t>
  </si>
  <si>
    <r>
      <t>Does your institution specify security</t>
    </r>
    <r>
      <rPr>
        <sz val="12"/>
        <color rgb="FFFF0000"/>
        <rFont val="Calibri"/>
        <family val="2"/>
        <scheme val="minor"/>
      </rPr>
      <t xml:space="preserve"> </t>
    </r>
    <r>
      <rPr>
        <sz val="12"/>
        <rFont val="Calibri"/>
        <family val="2"/>
        <scheme val="minor"/>
      </rPr>
      <t>requirements in contracts with external entities (third party) before granting access to sensitive institutional information assets?</t>
    </r>
  </si>
  <si>
    <t>Reset Worksheet -----&gt;</t>
  </si>
  <si>
    <r>
      <t xml:space="preserve">The primary distinction from Level 3, Well Defined, is that the process is </t>
    </r>
    <r>
      <rPr>
        <b/>
        <sz val="12"/>
        <color theme="1"/>
        <rFont val="Calibri"/>
        <family val="2"/>
        <scheme val="minor"/>
      </rPr>
      <t>measured and verified</t>
    </r>
    <r>
      <rPr>
        <sz val="12"/>
        <color theme="1"/>
        <rFont val="Calibri"/>
        <family val="2"/>
        <scheme val="minor"/>
      </rPr>
      <t xml:space="preserve"> (e.g., auditable).</t>
    </r>
  </si>
  <si>
    <r>
      <t xml:space="preserve">The primary distinction from Level 4, Quantitatively Controlled, is that the defined, standard processes are </t>
    </r>
    <r>
      <rPr>
        <b/>
        <sz val="12"/>
        <color theme="1"/>
        <rFont val="Calibri"/>
        <family val="2"/>
        <scheme val="minor"/>
      </rPr>
      <t>regularly reviewed and updated</t>
    </r>
    <r>
      <rPr>
        <sz val="12"/>
        <color theme="1"/>
        <rFont val="Calibri"/>
        <family val="2"/>
        <scheme val="minor"/>
      </rPr>
      <t>. Improvements reflect an understanding of, and response to, a vulnerability's impact.</t>
    </r>
  </si>
  <si>
    <t xml:space="preserve">Does your institution have a process to ensure synchronization of system clocks with an authoritative source (e.g., via NTP) on a periodic basis commensurate with the potential risks? </t>
  </si>
  <si>
    <t>Except where otherwise noted, this work is licensed under a Creative Commons Attribution NonCommercial No Derivatives 4.0 International License, http://creativecommons.org/licenses/by-nc-nd/4.0/deed.en_US</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</si>
</sst>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name val="Arial"/>
      <family val="2"/>
    </font>
    <font>
      <b/>
      <sz val="10"/>
      <name val="Arial"/>
      <family val="2"/>
    </font>
    <font>
      <sz val="10"/>
      <name val="Arial"/>
      <family val="2"/>
    </font>
    <font>
      <sz val="12"/>
      <name val="Arial"/>
      <family val="2"/>
    </font>
    <font>
      <sz val="8"/>
      <name val="Verdana"/>
      <family val="2"/>
    </font>
    <font>
      <sz val="10"/>
      <color indexed="10"/>
      <name val="Arial"/>
      <family val="2"/>
    </font>
    <font>
      <sz val="12"/>
      <name val="Calibri"/>
      <family val="2"/>
      <scheme val="minor"/>
    </font>
    <font>
      <b/>
      <sz val="12"/>
      <name val="Calibri"/>
      <family val="2"/>
      <scheme val="minor"/>
    </font>
    <font>
      <strike/>
      <sz val="12"/>
      <name val="Calibri"/>
      <family val="2"/>
      <scheme val="minor"/>
    </font>
    <font>
      <sz val="12"/>
      <color theme="1"/>
      <name val="Calibri"/>
      <family val="2"/>
      <scheme val="minor"/>
    </font>
    <font>
      <sz val="12"/>
      <color indexed="10"/>
      <name val="Calibri"/>
      <family val="2"/>
      <scheme val="minor"/>
    </font>
    <font>
      <sz val="11"/>
      <color rgb="FF3F3F76"/>
      <name val="Calibri"/>
      <family val="2"/>
      <scheme val="minor"/>
    </font>
    <font>
      <sz val="11"/>
      <color rgb="FF006100"/>
      <name val="Calibri"/>
      <family val="2"/>
      <scheme val="minor"/>
    </font>
    <font>
      <b/>
      <sz val="11"/>
      <color theme="1"/>
      <name val="Calibri"/>
      <family val="2"/>
      <scheme val="minor"/>
    </font>
    <font>
      <sz val="11"/>
      <name val="Calibri"/>
      <family val="2"/>
      <scheme val="minor"/>
    </font>
    <font>
      <b/>
      <sz val="12"/>
      <color theme="1"/>
      <name val="Calibri"/>
      <family val="2"/>
      <scheme val="minor"/>
    </font>
    <font>
      <b/>
      <sz val="11"/>
      <name val="Calibri"/>
      <family val="2"/>
      <scheme val="minor"/>
    </font>
    <font>
      <b/>
      <sz val="11"/>
      <color indexed="8"/>
      <name val="Calibri"/>
      <family val="2"/>
      <scheme val="minor"/>
    </font>
    <font>
      <sz val="8"/>
      <name val="Calibri"/>
      <family val="2"/>
      <scheme val="minor"/>
    </font>
    <font>
      <u/>
      <sz val="11"/>
      <color theme="10"/>
      <name val="Calibri"/>
      <family val="2"/>
      <scheme val="minor"/>
    </font>
    <font>
      <u/>
      <sz val="11"/>
      <color theme="11"/>
      <name val="Calibri"/>
      <family val="2"/>
      <scheme val="minor"/>
    </font>
    <font>
      <sz val="12"/>
      <color rgb="FFFF0000"/>
      <name val="Calibri"/>
      <family val="2"/>
      <scheme val="minor"/>
    </font>
    <font>
      <b/>
      <sz val="18"/>
      <color rgb="FF00B050"/>
      <name val="Calibri"/>
      <family val="2"/>
      <scheme val="minor"/>
    </font>
    <font>
      <sz val="16"/>
      <color rgb="FFFF0000"/>
      <name val="Calibri"/>
      <family val="2"/>
      <scheme val="minor"/>
    </font>
    <font>
      <sz val="11.5"/>
      <color theme="1"/>
      <name val="Calibri"/>
      <family val="2"/>
      <scheme val="minor"/>
    </font>
    <font>
      <sz val="10"/>
      <color theme="1"/>
      <name val="Symbol"/>
      <family val="1"/>
      <charset val="2"/>
    </font>
    <font>
      <sz val="7"/>
      <color theme="1"/>
      <name val="Times New Roman"/>
      <family val="1"/>
    </font>
    <font>
      <sz val="11"/>
      <color theme="1"/>
      <name val="Calibri"/>
      <family val="2"/>
      <scheme val="minor"/>
    </font>
    <font>
      <sz val="11"/>
      <name val="Arial"/>
      <family val="2"/>
    </font>
    <font>
      <strike/>
      <sz val="11"/>
      <name val="Calibri"/>
      <family val="2"/>
      <scheme val="minor"/>
    </font>
    <font>
      <b/>
      <sz val="14"/>
      <color theme="1"/>
      <name val="Calibri"/>
      <family val="2"/>
      <scheme val="minor"/>
    </font>
    <font>
      <sz val="9"/>
      <name val="Calibri"/>
      <family val="3"/>
      <charset val="136"/>
      <scheme val="minor"/>
    </font>
    <font>
      <sz val="11"/>
      <color rgb="FFFF0000"/>
      <name val="Calibri"/>
      <family val="2"/>
      <scheme val="minor"/>
    </font>
    <font>
      <b/>
      <sz val="16"/>
      <color indexed="8"/>
      <name val="Calibri"/>
      <family val="2"/>
      <scheme val="minor"/>
    </font>
    <font>
      <u/>
      <sz val="12"/>
      <color theme="10"/>
      <name val="Calibri"/>
      <family val="2"/>
      <scheme val="minor"/>
    </font>
    <font>
      <b/>
      <sz val="16"/>
      <name val="Calibri"/>
      <family val="2"/>
      <scheme val="minor"/>
    </font>
    <font>
      <b/>
      <sz val="16"/>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C99"/>
      </patternFill>
    </fill>
    <fill>
      <patternFill patternType="solid">
        <fgColor theme="2"/>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diagonal/>
    </border>
    <border>
      <left/>
      <right/>
      <top/>
      <bottom style="double">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bottom style="thin">
        <color auto="1"/>
      </bottom>
      <diagonal/>
    </border>
    <border>
      <left/>
      <right style="thin">
        <color auto="1"/>
      </right>
      <top style="thin">
        <color rgb="FF7F7F7F"/>
      </top>
      <bottom style="thin">
        <color rgb="FF7F7F7F"/>
      </bottom>
      <diagonal/>
    </border>
    <border>
      <left style="thin">
        <color auto="1"/>
      </left>
      <right style="thin">
        <color auto="1"/>
      </right>
      <top/>
      <bottom style="thin">
        <color auto="1"/>
      </bottom>
      <diagonal/>
    </border>
    <border>
      <left style="medium">
        <color auto="1"/>
      </left>
      <right/>
      <top style="medium">
        <color auto="1"/>
      </top>
      <bottom/>
      <diagonal/>
    </border>
    <border>
      <left style="thin">
        <color auto="1"/>
      </left>
      <right/>
      <top style="thin">
        <color auto="1"/>
      </top>
      <bottom style="thin">
        <color auto="1"/>
      </bottom>
      <diagonal/>
    </border>
    <border>
      <left/>
      <right/>
      <top style="medium">
        <color auto="1"/>
      </top>
      <bottom/>
      <diagonal/>
    </border>
    <border>
      <left/>
      <right/>
      <top style="thin">
        <color auto="1"/>
      </top>
      <bottom style="thin">
        <color auto="1"/>
      </bottom>
      <diagonal/>
    </border>
    <border>
      <left/>
      <right style="thin">
        <color auto="1"/>
      </right>
      <top style="thin">
        <color auto="1"/>
      </top>
      <bottom/>
      <diagonal/>
    </border>
  </borders>
  <cellStyleXfs count="55">
    <xf numFmtId="0" fontId="0" fillId="0" borderId="0"/>
    <xf numFmtId="0" fontId="4" fillId="0" borderId="0"/>
    <xf numFmtId="0" fontId="6" fillId="0" borderId="0"/>
    <xf numFmtId="0" fontId="4" fillId="0" borderId="0"/>
    <xf numFmtId="0" fontId="15" fillId="6" borderId="3" applyNumberFormat="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cellStyleXfs>
  <cellXfs count="193">
    <xf numFmtId="0" fontId="0" fillId="0" borderId="0" xfId="0"/>
    <xf numFmtId="0" fontId="0" fillId="0" borderId="0" xfId="0" applyFill="1" applyAlignment="1">
      <alignment horizontal="left" vertical="justify" wrapText="1"/>
    </xf>
    <xf numFmtId="0" fontId="0" fillId="0" borderId="0" xfId="0" applyAlignment="1">
      <alignment horizontal="left" vertical="justify" wrapText="1"/>
    </xf>
    <xf numFmtId="0" fontId="4" fillId="0" borderId="0" xfId="3"/>
    <xf numFmtId="0" fontId="4" fillId="0" borderId="1" xfId="3" applyBorder="1"/>
    <xf numFmtId="0" fontId="4" fillId="4" borderId="1" xfId="3" applyFill="1" applyBorder="1"/>
    <xf numFmtId="0" fontId="4" fillId="0" borderId="1" xfId="3" applyFill="1" applyBorder="1"/>
    <xf numFmtId="0" fontId="4" fillId="0" borderId="1" xfId="3" applyFont="1" applyBorder="1"/>
    <xf numFmtId="0" fontId="9" fillId="0" borderId="1" xfId="3" applyFont="1" applyBorder="1"/>
    <xf numFmtId="0" fontId="9" fillId="0" borderId="1" xfId="3" applyFont="1" applyFill="1" applyBorder="1"/>
    <xf numFmtId="0" fontId="4" fillId="0" borderId="0" xfId="3" applyBorder="1"/>
    <xf numFmtId="0" fontId="4" fillId="0" borderId="0" xfId="3" applyFont="1" applyBorder="1"/>
    <xf numFmtId="0" fontId="4" fillId="0" borderId="0" xfId="3" applyAlignment="1">
      <alignment horizontal="left" vertical="top" wrapText="1"/>
    </xf>
    <xf numFmtId="0" fontId="4" fillId="0" borderId="0" xfId="3" applyBorder="1" applyAlignment="1">
      <alignment vertical="top" wrapText="1"/>
    </xf>
    <xf numFmtId="0" fontId="5" fillId="0" borderId="0" xfId="3" applyFont="1" applyBorder="1" applyAlignment="1">
      <alignment horizontal="right" vertical="top" wrapText="1"/>
    </xf>
    <xf numFmtId="0" fontId="4" fillId="0" borderId="0" xfId="3" applyAlignment="1">
      <alignment vertical="top" wrapText="1"/>
    </xf>
    <xf numFmtId="0" fontId="0" fillId="0" borderId="0" xfId="0" applyBorder="1" applyAlignment="1">
      <alignment horizontal="left" vertical="justify" wrapText="1"/>
    </xf>
    <xf numFmtId="0" fontId="0" fillId="0" borderId="0" xfId="0" applyFill="1" applyBorder="1" applyAlignment="1">
      <alignment horizontal="left" vertical="justify" wrapText="1"/>
    </xf>
    <xf numFmtId="0" fontId="4" fillId="4" borderId="0" xfId="3" applyFill="1" applyBorder="1"/>
    <xf numFmtId="0" fontId="4" fillId="0" borderId="0" xfId="3" applyFill="1" applyBorder="1"/>
    <xf numFmtId="0" fontId="9" fillId="0" borderId="0" xfId="3" applyFont="1" applyBorder="1"/>
    <xf numFmtId="0" fontId="9" fillId="0" borderId="0" xfId="3" applyFont="1" applyFill="1" applyBorder="1"/>
    <xf numFmtId="0" fontId="4" fillId="0" borderId="0" xfId="3" applyBorder="1" applyAlignment="1">
      <alignment horizontal="left" vertical="top" wrapText="1"/>
    </xf>
    <xf numFmtId="0" fontId="10" fillId="3" borderId="0" xfId="1" applyFont="1" applyFill="1" applyBorder="1" applyAlignment="1">
      <alignment horizontal="left" vertical="top" wrapText="1"/>
    </xf>
    <xf numFmtId="0" fontId="10" fillId="0" borderId="0" xfId="1" applyFont="1" applyFill="1" applyBorder="1" applyAlignment="1">
      <alignment horizontal="left" vertical="top" wrapText="1"/>
    </xf>
    <xf numFmtId="0" fontId="11" fillId="2" borderId="0" xfId="1" applyFont="1" applyFill="1" applyBorder="1" applyAlignment="1">
      <alignment horizontal="left" vertical="top" wrapText="1"/>
    </xf>
    <xf numFmtId="0" fontId="10" fillId="0" borderId="0" xfId="1" applyFont="1" applyBorder="1" applyAlignment="1">
      <alignment horizontal="left" vertical="top" wrapText="1"/>
    </xf>
    <xf numFmtId="0" fontId="11" fillId="0" borderId="0" xfId="1" applyFont="1" applyFill="1" applyBorder="1" applyAlignment="1">
      <alignment horizontal="left" vertical="top" wrapText="1"/>
    </xf>
    <xf numFmtId="0" fontId="10" fillId="0" borderId="0" xfId="1" quotePrefix="1" applyFont="1" applyBorder="1" applyAlignment="1">
      <alignment horizontal="left" vertical="top" wrapText="1"/>
    </xf>
    <xf numFmtId="0" fontId="12" fillId="0" borderId="0" xfId="1" applyFont="1" applyBorder="1" applyAlignment="1">
      <alignment horizontal="left" vertical="top" wrapText="1"/>
    </xf>
    <xf numFmtId="0" fontId="10" fillId="0" borderId="0" xfId="0" applyFont="1" applyAlignment="1">
      <alignment horizontal="left" vertical="justify" wrapText="1"/>
    </xf>
    <xf numFmtId="0" fontId="10" fillId="0" borderId="0" xfId="3" applyFont="1" applyBorder="1" applyAlignment="1">
      <alignment vertical="top" wrapText="1"/>
    </xf>
    <xf numFmtId="0" fontId="10" fillId="0" borderId="0" xfId="3" applyFont="1" applyBorder="1" applyAlignment="1">
      <alignment horizontal="center" vertical="top" wrapText="1"/>
    </xf>
    <xf numFmtId="0" fontId="7" fillId="0" borderId="0" xfId="3" applyFont="1" applyBorder="1" applyAlignment="1">
      <alignment vertical="top" wrapText="1"/>
    </xf>
    <xf numFmtId="0" fontId="10" fillId="0" borderId="0" xfId="1" applyFont="1" applyFill="1" applyBorder="1" applyAlignment="1">
      <alignment horizontal="left" vertical="center" wrapText="1"/>
    </xf>
    <xf numFmtId="0" fontId="11" fillId="0" borderId="0" xfId="3" applyFont="1" applyFill="1" applyBorder="1" applyAlignment="1">
      <alignment vertical="top" wrapText="1"/>
    </xf>
    <xf numFmtId="0" fontId="4" fillId="0" borderId="0" xfId="3" applyFill="1"/>
    <xf numFmtId="0" fontId="10" fillId="0" borderId="0" xfId="1" applyFont="1" applyBorder="1" applyAlignment="1">
      <alignment horizontal="left" vertical="top" wrapText="1"/>
    </xf>
    <xf numFmtId="0" fontId="10" fillId="0" borderId="0" xfId="1" applyFont="1" applyBorder="1" applyAlignment="1">
      <alignment horizontal="left" vertical="top" wrapText="1"/>
    </xf>
    <xf numFmtId="0" fontId="11" fillId="5" borderId="0" xfId="1" applyFont="1" applyFill="1" applyBorder="1" applyAlignment="1">
      <alignment horizontal="left" vertical="center" wrapText="1"/>
    </xf>
    <xf numFmtId="0" fontId="0" fillId="0" borderId="0" xfId="0" applyAlignment="1">
      <alignment horizontal="left" vertical="top"/>
    </xf>
    <xf numFmtId="0" fontId="0" fillId="0" borderId="0" xfId="0" applyAlignment="1">
      <alignment horizontal="left" vertical="top" wrapText="1"/>
    </xf>
    <xf numFmtId="0" fontId="17" fillId="0" borderId="0" xfId="0" applyFont="1" applyAlignment="1">
      <alignment horizontal="left" vertical="top" wrapText="1"/>
    </xf>
    <xf numFmtId="0" fontId="11" fillId="2" borderId="0" xfId="1" applyFont="1" applyFill="1" applyBorder="1" applyAlignment="1">
      <alignment horizontal="left" vertical="center" wrapText="1"/>
    </xf>
    <xf numFmtId="0" fontId="18" fillId="0" borderId="2" xfId="3" applyFont="1" applyBorder="1" applyAlignment="1">
      <alignment horizontal="left" vertical="center" wrapText="1"/>
    </xf>
    <xf numFmtId="0" fontId="18" fillId="0" borderId="0" xfId="4" applyFont="1" applyFill="1" applyBorder="1" applyAlignment="1">
      <alignment vertical="center" wrapText="1"/>
    </xf>
    <xf numFmtId="0" fontId="10" fillId="0" borderId="0" xfId="1" applyFont="1" applyBorder="1" applyAlignment="1">
      <alignment horizontal="left" vertical="top" wrapText="1"/>
    </xf>
    <xf numFmtId="0" fontId="10" fillId="0" borderId="0" xfId="1" applyFont="1" applyFill="1" applyBorder="1" applyAlignment="1">
      <alignment horizontal="left" vertical="top" wrapText="1"/>
    </xf>
    <xf numFmtId="0" fontId="10" fillId="0" borderId="0" xfId="1" applyFont="1" applyFill="1" applyBorder="1" applyAlignment="1">
      <alignment horizontal="left" vertical="top" wrapText="1"/>
    </xf>
    <xf numFmtId="0" fontId="10" fillId="0" borderId="0" xfId="1" applyFont="1" applyBorder="1" applyAlignment="1">
      <alignment horizontal="left" vertical="top" wrapText="1"/>
    </xf>
    <xf numFmtId="0" fontId="0" fillId="0" borderId="0" xfId="0" applyAlignment="1">
      <alignment horizontal="left" vertical="top"/>
    </xf>
    <xf numFmtId="0" fontId="17" fillId="0" borderId="5" xfId="0" applyFont="1" applyBorder="1" applyAlignment="1">
      <alignment horizontal="left" vertical="top"/>
    </xf>
    <xf numFmtId="0" fontId="18" fillId="0" borderId="0" xfId="0" applyFont="1" applyAlignment="1">
      <alignment horizontal="left" vertical="top"/>
    </xf>
    <xf numFmtId="0" fontId="17" fillId="0" borderId="0" xfId="0" applyFont="1" applyAlignment="1">
      <alignment horizontal="left" vertical="top"/>
    </xf>
    <xf numFmtId="0" fontId="0" fillId="0" borderId="0" xfId="0" applyAlignment="1" applyProtection="1">
      <alignment horizontal="left" vertical="top" wrapText="1"/>
      <protection locked="0"/>
    </xf>
    <xf numFmtId="0" fontId="13" fillId="0" borderId="1" xfId="0" applyFont="1" applyBorder="1" applyAlignment="1">
      <alignment horizontal="left" vertical="top" wrapText="1"/>
    </xf>
    <xf numFmtId="0" fontId="3" fillId="0" borderId="1" xfId="0" applyFont="1" applyBorder="1" applyAlignment="1">
      <alignment horizontal="left" vertical="top" wrapText="1"/>
    </xf>
    <xf numFmtId="0" fontId="18" fillId="0" borderId="0" xfId="0" applyFont="1" applyAlignment="1">
      <alignment horizontal="left" vertical="top" wrapText="1"/>
    </xf>
    <xf numFmtId="0" fontId="18" fillId="0" borderId="0" xfId="4" applyFont="1" applyFill="1" applyBorder="1" applyAlignment="1">
      <alignment horizontal="center" vertical="center" wrapText="1"/>
    </xf>
    <xf numFmtId="0" fontId="18" fillId="0" borderId="0" xfId="4" applyFont="1" applyFill="1" applyBorder="1" applyAlignment="1">
      <alignment horizontal="left" vertical="center" wrapText="1"/>
    </xf>
    <xf numFmtId="0" fontId="18" fillId="0" borderId="1" xfId="0" applyFont="1" applyFill="1" applyBorder="1" applyAlignment="1">
      <alignment horizontal="left" vertical="center" wrapText="1"/>
    </xf>
    <xf numFmtId="0" fontId="18" fillId="0" borderId="1" xfId="4" applyFont="1" applyFill="1" applyBorder="1" applyAlignment="1">
      <alignment horizontal="left" vertical="center" wrapText="1"/>
    </xf>
    <xf numFmtId="0" fontId="18" fillId="0" borderId="6" xfId="4" applyFont="1" applyFill="1" applyBorder="1" applyAlignment="1">
      <alignment horizontal="left" vertical="center" wrapText="1"/>
    </xf>
    <xf numFmtId="0" fontId="18" fillId="0" borderId="4" xfId="4" applyFont="1" applyFill="1" applyBorder="1" applyAlignment="1">
      <alignment vertical="center" wrapText="1"/>
    </xf>
    <xf numFmtId="0" fontId="18" fillId="6" borderId="4" xfId="4" applyFont="1" applyBorder="1" applyAlignment="1">
      <alignment vertical="center" wrapText="1"/>
    </xf>
    <xf numFmtId="0" fontId="10" fillId="0" borderId="0" xfId="1" applyFont="1" applyFill="1" applyBorder="1" applyAlignment="1">
      <alignment horizontal="left" vertical="top" wrapText="1"/>
    </xf>
    <xf numFmtId="0" fontId="0" fillId="0" borderId="0" xfId="0" applyAlignment="1">
      <alignment horizontal="left" vertical="top"/>
    </xf>
    <xf numFmtId="0" fontId="18" fillId="0" borderId="1" xfId="4" applyFont="1" applyFill="1" applyBorder="1" applyAlignment="1">
      <alignment horizontal="center" vertical="center" wrapText="1"/>
    </xf>
    <xf numFmtId="0" fontId="18" fillId="0" borderId="0" xfId="4" applyFont="1" applyFill="1" applyBorder="1" applyAlignment="1">
      <alignment horizontal="right" vertical="center" wrapText="1"/>
    </xf>
    <xf numFmtId="0" fontId="10" fillId="0" borderId="0" xfId="0" applyFont="1" applyBorder="1" applyAlignment="1">
      <alignment horizontal="left" vertical="justify" wrapText="1"/>
    </xf>
    <xf numFmtId="0" fontId="18" fillId="0" borderId="8" xfId="3" applyFont="1" applyFill="1" applyBorder="1" applyAlignment="1">
      <alignment horizontal="left" vertical="top" wrapText="1"/>
    </xf>
    <xf numFmtId="0" fontId="20" fillId="0" borderId="9" xfId="4" applyFont="1" applyFill="1" applyBorder="1" applyAlignment="1">
      <alignment horizontal="left" vertical="top" wrapText="1"/>
    </xf>
    <xf numFmtId="0" fontId="20" fillId="0" borderId="8" xfId="3" applyFont="1" applyFill="1" applyBorder="1" applyAlignment="1">
      <alignment horizontal="left" vertical="top" wrapText="1"/>
    </xf>
    <xf numFmtId="0" fontId="20" fillId="0" borderId="7" xfId="1" applyFont="1" applyFill="1" applyBorder="1" applyAlignment="1">
      <alignment horizontal="left" vertical="top" wrapText="1"/>
    </xf>
    <xf numFmtId="0" fontId="21" fillId="0" borderId="7" xfId="1" applyFont="1" applyFill="1" applyBorder="1" applyAlignment="1">
      <alignment horizontal="left" vertical="top" wrapText="1"/>
    </xf>
    <xf numFmtId="0" fontId="21" fillId="0" borderId="7" xfId="1" applyFont="1" applyBorder="1" applyAlignment="1">
      <alignment horizontal="left" vertical="top" wrapText="1"/>
    </xf>
    <xf numFmtId="0" fontId="10" fillId="0" borderId="7" xfId="3" applyFont="1" applyBorder="1" applyAlignment="1">
      <alignment horizontal="left" vertical="top" wrapText="1"/>
    </xf>
    <xf numFmtId="0" fontId="10" fillId="0" borderId="7" xfId="1" applyFont="1" applyFill="1" applyBorder="1" applyAlignment="1">
      <alignment vertical="top" wrapText="1"/>
    </xf>
    <xf numFmtId="0" fontId="10" fillId="0" borderId="7" xfId="1" applyFont="1" applyBorder="1" applyAlignment="1">
      <alignment horizontal="left" vertical="top" wrapText="1"/>
    </xf>
    <xf numFmtId="0" fontId="10" fillId="0" borderId="7" xfId="3" applyFont="1" applyFill="1" applyBorder="1" applyAlignment="1">
      <alignment horizontal="left" vertical="top" wrapText="1"/>
    </xf>
    <xf numFmtId="0" fontId="10" fillId="0" borderId="7" xfId="1" applyFont="1" applyFill="1" applyBorder="1" applyAlignment="1">
      <alignment vertical="center" wrapText="1"/>
    </xf>
    <xf numFmtId="0" fontId="10" fillId="0" borderId="7" xfId="1" applyFont="1" applyBorder="1" applyAlignment="1">
      <alignment vertical="top" wrapText="1"/>
    </xf>
    <xf numFmtId="0" fontId="10" fillId="0" borderId="7" xfId="0" applyFont="1" applyBorder="1" applyAlignment="1">
      <alignment vertical="top" wrapText="1"/>
    </xf>
    <xf numFmtId="0" fontId="10" fillId="0" borderId="7" xfId="0" applyFont="1" applyFill="1" applyBorder="1" applyAlignment="1">
      <alignment vertical="top" wrapText="1"/>
    </xf>
    <xf numFmtId="0" fontId="10" fillId="4" borderId="7" xfId="1" applyFont="1" applyFill="1" applyBorder="1" applyAlignment="1">
      <alignment horizontal="left" vertical="top" wrapText="1"/>
    </xf>
    <xf numFmtId="0" fontId="10" fillId="0" borderId="7" xfId="0" applyNumberFormat="1" applyFont="1" applyFill="1" applyBorder="1" applyAlignment="1">
      <alignment horizontal="left" vertical="top" wrapText="1"/>
    </xf>
    <xf numFmtId="0" fontId="10" fillId="0" borderId="7" xfId="0" applyNumberFormat="1" applyFont="1" applyFill="1" applyBorder="1" applyAlignment="1">
      <alignment vertical="top" wrapText="1"/>
    </xf>
    <xf numFmtId="0" fontId="10" fillId="0" borderId="7" xfId="0" applyFont="1" applyBorder="1" applyAlignment="1">
      <alignment vertical="top"/>
    </xf>
    <xf numFmtId="2" fontId="10" fillId="0" borderId="7" xfId="0" applyNumberFormat="1" applyFont="1" applyFill="1" applyBorder="1" applyAlignment="1">
      <alignment vertical="top" wrapText="1"/>
    </xf>
    <xf numFmtId="2" fontId="10" fillId="0" borderId="7" xfId="0" applyNumberFormat="1" applyFont="1" applyBorder="1" applyAlignment="1">
      <alignment horizontal="left" vertical="top" wrapText="1"/>
    </xf>
    <xf numFmtId="0" fontId="10" fillId="0" borderId="7" xfId="3" applyFont="1" applyFill="1" applyBorder="1" applyAlignment="1">
      <alignment vertical="top" wrapText="1"/>
    </xf>
    <xf numFmtId="0" fontId="18" fillId="0" borderId="0" xfId="0" applyFont="1" applyFill="1" applyBorder="1" applyAlignment="1">
      <alignment horizontal="left" vertical="justify" wrapText="1"/>
    </xf>
    <xf numFmtId="0" fontId="10" fillId="0" borderId="0" xfId="1" quotePrefix="1" applyFont="1" applyFill="1" applyBorder="1" applyAlignment="1">
      <alignment horizontal="left" vertical="top" wrapText="1"/>
    </xf>
    <xf numFmtId="0" fontId="12" fillId="0" borderId="0" xfId="1" applyFont="1" applyFill="1" applyBorder="1" applyAlignment="1">
      <alignment horizontal="left" vertical="top" wrapText="1"/>
    </xf>
    <xf numFmtId="0" fontId="10" fillId="0" borderId="0" xfId="0" applyFont="1" applyFill="1" applyBorder="1" applyAlignment="1">
      <alignment horizontal="left" vertical="justify" wrapText="1"/>
    </xf>
    <xf numFmtId="0" fontId="10" fillId="0" borderId="0" xfId="3" applyFont="1" applyFill="1" applyBorder="1" applyAlignment="1">
      <alignment vertical="top" wrapText="1"/>
    </xf>
    <xf numFmtId="0" fontId="10" fillId="0" borderId="0" xfId="3" applyFont="1" applyFill="1" applyBorder="1" applyAlignment="1">
      <alignment horizontal="center" vertical="top" wrapText="1"/>
    </xf>
    <xf numFmtId="0" fontId="7" fillId="0" borderId="0" xfId="3" applyFont="1" applyFill="1" applyBorder="1" applyAlignment="1">
      <alignment vertical="top" wrapText="1"/>
    </xf>
    <xf numFmtId="0" fontId="4" fillId="0" borderId="0" xfId="3" applyFont="1" applyFill="1" applyBorder="1" applyAlignment="1">
      <alignment vertical="top" wrapText="1"/>
    </xf>
    <xf numFmtId="0" fontId="4" fillId="0" borderId="0" xfId="3" applyFont="1" applyFill="1" applyBorder="1" applyAlignment="1">
      <alignment horizontal="right" vertical="top" wrapText="1"/>
    </xf>
    <xf numFmtId="0" fontId="19" fillId="0" borderId="1" xfId="0" applyFont="1" applyBorder="1" applyAlignment="1">
      <alignment horizontal="center" vertical="center"/>
    </xf>
    <xf numFmtId="0" fontId="11" fillId="5" borderId="1" xfId="4" applyFont="1" applyFill="1" applyBorder="1" applyAlignment="1">
      <alignment horizontal="right" vertical="center" wrapText="1"/>
    </xf>
    <xf numFmtId="0" fontId="10" fillId="0" borderId="0" xfId="3" applyFont="1" applyBorder="1" applyAlignment="1">
      <alignment horizontal="center" vertical="center" wrapText="1"/>
    </xf>
    <xf numFmtId="0" fontId="10" fillId="0" borderId="0" xfId="3" applyFont="1" applyFill="1" applyBorder="1" applyAlignment="1">
      <alignment horizontal="center" vertical="center" wrapText="1"/>
    </xf>
    <xf numFmtId="0" fontId="14" fillId="0" borderId="0" xfId="3" applyFont="1" applyBorder="1" applyAlignment="1">
      <alignment horizontal="center" vertical="center" wrapText="1"/>
    </xf>
    <xf numFmtId="0" fontId="0" fillId="0" borderId="1" xfId="0" applyBorder="1" applyAlignment="1">
      <alignment horizontal="center" vertical="center"/>
    </xf>
    <xf numFmtId="0" fontId="10" fillId="0" borderId="0" xfId="3" applyFont="1" applyAlignment="1">
      <alignment horizontal="center" vertical="center" wrapText="1"/>
    </xf>
    <xf numFmtId="0" fontId="11" fillId="0" borderId="0" xfId="3" applyFont="1" applyFill="1" applyBorder="1" applyAlignment="1">
      <alignment horizontal="center" vertical="center" wrapText="1"/>
    </xf>
    <xf numFmtId="0" fontId="7" fillId="0" borderId="0" xfId="3" applyFont="1" applyBorder="1" applyAlignment="1">
      <alignment horizontal="center" vertical="center" wrapText="1"/>
    </xf>
    <xf numFmtId="0" fontId="4" fillId="0" borderId="0" xfId="3" applyBorder="1" applyAlignment="1">
      <alignment horizontal="center" vertical="center" wrapText="1"/>
    </xf>
    <xf numFmtId="0" fontId="5" fillId="0" borderId="0" xfId="3" applyFont="1" applyBorder="1" applyAlignment="1">
      <alignment horizontal="center" vertical="center" wrapText="1"/>
    </xf>
    <xf numFmtId="0" fontId="4" fillId="0" borderId="0" xfId="3" applyAlignment="1">
      <alignment horizontal="center" vertical="center" wrapText="1"/>
    </xf>
    <xf numFmtId="0" fontId="19" fillId="0" borderId="11" xfId="0" applyFont="1" applyBorder="1" applyAlignment="1">
      <alignment horizontal="left" vertical="top" wrapText="1"/>
    </xf>
    <xf numFmtId="0" fontId="13" fillId="0" borderId="12" xfId="0" applyFont="1" applyBorder="1" applyAlignment="1">
      <alignment horizontal="left" vertical="top" wrapText="1"/>
    </xf>
    <xf numFmtId="0" fontId="19" fillId="0" borderId="1" xfId="0" applyFont="1" applyBorder="1" applyAlignment="1">
      <alignment horizontal="left" vertical="top" wrapText="1"/>
    </xf>
    <xf numFmtId="0" fontId="19" fillId="0" borderId="13" xfId="0" applyFont="1" applyBorder="1" applyAlignment="1">
      <alignment horizontal="left" vertical="top" wrapText="1"/>
    </xf>
    <xf numFmtId="0" fontId="13" fillId="0" borderId="14" xfId="0" applyFont="1" applyBorder="1" applyAlignment="1">
      <alignment horizontal="left" vertical="top" wrapText="1"/>
    </xf>
    <xf numFmtId="0" fontId="17" fillId="0" borderId="1" xfId="0" applyFont="1" applyBorder="1" applyAlignment="1">
      <alignment vertical="center" wrapText="1"/>
    </xf>
    <xf numFmtId="0" fontId="0" fillId="0" borderId="1" xfId="0" applyBorder="1" applyAlignment="1">
      <alignment vertical="center" wrapText="1"/>
    </xf>
    <xf numFmtId="0" fontId="28" fillId="0" borderId="1" xfId="0" applyFont="1" applyBorder="1" applyAlignment="1">
      <alignment vertical="center" wrapText="1"/>
    </xf>
    <xf numFmtId="0" fontId="13" fillId="0" borderId="6" xfId="0" applyFont="1" applyBorder="1" applyAlignment="1">
      <alignment horizontal="left" vertical="top" wrapText="1"/>
    </xf>
    <xf numFmtId="0" fontId="25" fillId="0" borderId="1" xfId="3" applyFont="1" applyBorder="1" applyAlignment="1">
      <alignment horizontal="left" vertical="top" wrapText="1"/>
    </xf>
    <xf numFmtId="0" fontId="25" fillId="0" borderId="0" xfId="0" applyFont="1" applyBorder="1" applyAlignment="1">
      <alignment horizontal="left" vertical="top" wrapText="1"/>
    </xf>
    <xf numFmtId="0" fontId="25" fillId="0" borderId="0" xfId="3" applyFont="1" applyBorder="1" applyAlignment="1">
      <alignment horizontal="left" vertical="top" wrapText="1"/>
    </xf>
    <xf numFmtId="0" fontId="25" fillId="0" borderId="0" xfId="3" applyFont="1" applyFill="1" applyBorder="1" applyAlignment="1">
      <alignment horizontal="left" vertical="top" wrapText="1"/>
    </xf>
    <xf numFmtId="0" fontId="25" fillId="0" borderId="0" xfId="3" applyFont="1" applyAlignment="1">
      <alignment horizontal="left" vertical="top" wrapText="1"/>
    </xf>
    <xf numFmtId="0" fontId="11" fillId="4" borderId="0" xfId="1" applyFont="1" applyFill="1" applyBorder="1" applyAlignment="1">
      <alignment horizontal="center" vertical="center" wrapText="1"/>
    </xf>
    <xf numFmtId="0" fontId="0" fillId="0" borderId="0" xfId="0" applyAlignment="1">
      <alignment horizontal="left" vertical="top"/>
    </xf>
    <xf numFmtId="0" fontId="0" fillId="0" borderId="0" xfId="0" applyAlignment="1">
      <alignment vertical="top"/>
    </xf>
    <xf numFmtId="0" fontId="17" fillId="0" borderId="0" xfId="0" applyFont="1" applyBorder="1" applyAlignment="1">
      <alignment horizontal="left" vertical="top"/>
    </xf>
    <xf numFmtId="0" fontId="20" fillId="0" borderId="0" xfId="1" applyFont="1" applyFill="1" applyBorder="1" applyAlignment="1">
      <alignment horizontal="left" vertical="center" wrapText="1"/>
    </xf>
    <xf numFmtId="0" fontId="20" fillId="0" borderId="0" xfId="1" applyFont="1" applyFill="1" applyBorder="1" applyAlignment="1">
      <alignment vertical="top" wrapText="1"/>
    </xf>
    <xf numFmtId="0" fontId="18" fillId="0" borderId="0" xfId="1" applyFont="1" applyFill="1" applyBorder="1" applyAlignment="1">
      <alignment horizontal="left" vertical="justify" wrapText="1"/>
    </xf>
    <xf numFmtId="0" fontId="18" fillId="0" borderId="0" xfId="1" applyFont="1" applyFill="1" applyBorder="1" applyAlignment="1">
      <alignment horizontal="left" vertical="top" wrapText="1"/>
    </xf>
    <xf numFmtId="0" fontId="33" fillId="0" borderId="0" xfId="1" applyFont="1" applyFill="1" applyBorder="1" applyAlignment="1">
      <alignment horizontal="left" vertical="justify" wrapText="1"/>
    </xf>
    <xf numFmtId="0" fontId="20" fillId="0" borderId="0" xfId="1" applyFont="1" applyFill="1" applyBorder="1" applyAlignment="1">
      <alignment horizontal="left" vertical="justify" wrapText="1"/>
    </xf>
    <xf numFmtId="0" fontId="31" fillId="0" borderId="0" xfId="0" applyFont="1"/>
    <xf numFmtId="0" fontId="18" fillId="0" borderId="0" xfId="1" quotePrefix="1" applyFont="1" applyFill="1" applyBorder="1" applyAlignment="1">
      <alignment horizontal="left" vertical="top" wrapText="1"/>
    </xf>
    <xf numFmtId="0" fontId="33" fillId="0" borderId="0" xfId="1" applyFont="1" applyFill="1" applyBorder="1" applyAlignment="1">
      <alignment horizontal="left" vertical="top" wrapText="1"/>
    </xf>
    <xf numFmtId="0" fontId="0" fillId="0" borderId="0" xfId="0" applyFont="1"/>
    <xf numFmtId="0" fontId="20" fillId="0" borderId="0" xfId="1" applyFont="1" applyFill="1" applyBorder="1" applyAlignment="1">
      <alignment horizontal="left" vertical="top" wrapText="1"/>
    </xf>
    <xf numFmtId="0" fontId="17" fillId="0" borderId="0" xfId="0" applyFont="1" applyFill="1" applyBorder="1" applyAlignment="1">
      <alignment horizontal="left" vertical="top" wrapText="1"/>
    </xf>
    <xf numFmtId="0" fontId="32" fillId="0" borderId="0" xfId="3" applyFont="1" applyFill="1" applyBorder="1"/>
    <xf numFmtId="0" fontId="17" fillId="0" borderId="0" xfId="0" applyFont="1" applyBorder="1" applyAlignment="1">
      <alignment horizontal="left" vertical="top" wrapText="1"/>
    </xf>
    <xf numFmtId="0" fontId="0" fillId="0" borderId="0" xfId="0" applyFont="1" applyAlignment="1">
      <alignment vertical="top"/>
    </xf>
    <xf numFmtId="0" fontId="11" fillId="4" borderId="1" xfId="3" applyFont="1" applyFill="1" applyBorder="1" applyAlignment="1">
      <alignment horizontal="center" vertical="center" wrapText="1"/>
    </xf>
    <xf numFmtId="0" fontId="10" fillId="0" borderId="1" xfId="3" applyFont="1" applyFill="1" applyBorder="1" applyAlignment="1">
      <alignment vertical="top" wrapText="1"/>
    </xf>
    <xf numFmtId="0" fontId="10" fillId="4" borderId="1" xfId="3" applyFont="1" applyFill="1" applyBorder="1" applyAlignment="1">
      <alignment vertical="top"/>
    </xf>
    <xf numFmtId="0" fontId="10" fillId="0" borderId="1" xfId="3" applyFont="1" applyFill="1" applyBorder="1" applyAlignment="1">
      <alignment horizontal="left" vertical="top" wrapText="1"/>
    </xf>
    <xf numFmtId="0" fontId="10" fillId="0" borderId="1" xfId="3" applyFont="1" applyBorder="1" applyAlignment="1">
      <alignment horizontal="left" vertical="top" wrapText="1"/>
    </xf>
    <xf numFmtId="0" fontId="10" fillId="0" borderId="1" xfId="3" quotePrefix="1" applyFont="1" applyBorder="1" applyAlignment="1">
      <alignment horizontal="left" vertical="top" wrapText="1"/>
    </xf>
    <xf numFmtId="0" fontId="17" fillId="0" borderId="0" xfId="0" applyFont="1"/>
    <xf numFmtId="0" fontId="18" fillId="0" borderId="0" xfId="0" applyFont="1" applyFill="1" applyBorder="1" applyAlignment="1">
      <alignment horizontal="left" vertical="center" wrapText="1"/>
    </xf>
    <xf numFmtId="0" fontId="18" fillId="6" borderId="0" xfId="4" applyFont="1" applyBorder="1" applyAlignment="1">
      <alignment vertical="center" wrapText="1"/>
    </xf>
    <xf numFmtId="0" fontId="3" fillId="0" borderId="0" xfId="0" applyFont="1" applyBorder="1" applyAlignment="1">
      <alignment horizontal="center" vertical="center" wrapText="1"/>
    </xf>
    <xf numFmtId="0" fontId="27" fillId="0" borderId="0" xfId="1" applyFont="1" applyBorder="1" applyAlignment="1">
      <alignment horizontal="center" vertical="top" wrapText="1"/>
    </xf>
    <xf numFmtId="0" fontId="19" fillId="0" borderId="1" xfId="0" applyFont="1" applyBorder="1" applyAlignment="1">
      <alignment horizontal="center" vertical="center" wrapText="1"/>
    </xf>
    <xf numFmtId="0" fontId="14" fillId="7" borderId="0" xfId="3" applyFont="1" applyFill="1" applyBorder="1" applyAlignment="1">
      <alignment horizontal="center" vertical="center" wrapText="1"/>
    </xf>
    <xf numFmtId="0" fontId="10" fillId="0" borderId="7" xfId="1" applyFont="1" applyFill="1" applyBorder="1" applyAlignment="1">
      <alignment horizontal="left" vertical="top" wrapText="1"/>
    </xf>
    <xf numFmtId="0" fontId="4" fillId="0" borderId="0" xfId="3" applyFill="1" applyBorder="1" applyAlignment="1">
      <alignment vertical="top" wrapText="1"/>
    </xf>
    <xf numFmtId="0" fontId="4" fillId="0" borderId="0" xfId="3" applyFill="1" applyAlignment="1">
      <alignment horizontal="center" vertical="center" wrapText="1"/>
    </xf>
    <xf numFmtId="0" fontId="25" fillId="0" borderId="0" xfId="3" applyFont="1" applyFill="1" applyAlignment="1">
      <alignment horizontal="left" vertical="top" wrapText="1"/>
    </xf>
    <xf numFmtId="0" fontId="4" fillId="0" borderId="0" xfId="3" applyFill="1" applyAlignment="1">
      <alignment horizontal="left" vertical="top" wrapText="1"/>
    </xf>
    <xf numFmtId="0" fontId="0" fillId="0" borderId="0" xfId="0" applyFill="1" applyAlignment="1">
      <alignment horizontal="left" vertical="top" wrapText="1"/>
    </xf>
    <xf numFmtId="0" fontId="4" fillId="0" borderId="0" xfId="3" applyFill="1" applyAlignment="1">
      <alignment vertical="top" wrapText="1"/>
    </xf>
    <xf numFmtId="0" fontId="11" fillId="0" borderId="1" xfId="0" applyFont="1" applyBorder="1" applyAlignment="1">
      <alignment horizontal="center" vertical="center" wrapText="1"/>
    </xf>
    <xf numFmtId="0" fontId="38" fillId="5" borderId="0" xfId="53" applyFont="1" applyFill="1" applyBorder="1" applyAlignment="1">
      <alignment horizontal="left" vertical="center" wrapText="1"/>
    </xf>
    <xf numFmtId="0" fontId="37" fillId="0" borderId="1" xfId="1" applyFont="1" applyBorder="1" applyAlignment="1">
      <alignment horizontal="left" vertical="top" wrapText="1"/>
    </xf>
    <xf numFmtId="0" fontId="39" fillId="0" borderId="1" xfId="1" applyFont="1" applyBorder="1" applyAlignment="1">
      <alignment horizontal="left" vertical="top" wrapText="1"/>
    </xf>
    <xf numFmtId="0" fontId="39" fillId="0" borderId="1" xfId="1" applyFont="1" applyBorder="1" applyAlignment="1">
      <alignment horizontal="center" vertical="top" wrapText="1"/>
    </xf>
    <xf numFmtId="0" fontId="10" fillId="0" borderId="15" xfId="1" applyFont="1" applyFill="1" applyBorder="1" applyAlignment="1">
      <alignment vertical="top" wrapText="1"/>
    </xf>
    <xf numFmtId="0" fontId="10" fillId="0" borderId="8" xfId="1" applyFont="1" applyFill="1" applyBorder="1" applyAlignment="1">
      <alignment vertical="top" wrapText="1"/>
    </xf>
    <xf numFmtId="0" fontId="25" fillId="5" borderId="1" xfId="3" applyFont="1" applyFill="1" applyBorder="1" applyAlignment="1">
      <alignment horizontal="center" vertical="top" wrapText="1"/>
    </xf>
    <xf numFmtId="2" fontId="11" fillId="5" borderId="1" xfId="4" applyNumberFormat="1" applyFont="1" applyFill="1" applyBorder="1" applyAlignment="1">
      <alignment horizontal="center" vertical="center" wrapText="1"/>
    </xf>
    <xf numFmtId="0" fontId="40" fillId="0" borderId="0" xfId="0" applyFont="1" applyAlignment="1">
      <alignment horizontal="right" vertical="justify" wrapText="1"/>
    </xf>
    <xf numFmtId="0" fontId="10" fillId="0" borderId="0" xfId="3" applyFont="1" applyBorder="1" applyAlignment="1">
      <alignment vertical="center" wrapText="1"/>
    </xf>
    <xf numFmtId="0" fontId="39" fillId="5" borderId="7" xfId="0" applyFont="1" applyFill="1" applyBorder="1" applyAlignment="1">
      <alignment horizontal="left" vertical="center" wrapText="1"/>
    </xf>
    <xf numFmtId="0" fontId="2" fillId="0" borderId="6" xfId="0" applyFont="1" applyBorder="1" applyAlignment="1">
      <alignment horizontal="left" vertical="top" wrapText="1"/>
    </xf>
    <xf numFmtId="0" fontId="0" fillId="0" borderId="0" xfId="0" applyAlignment="1">
      <alignment wrapText="1"/>
    </xf>
    <xf numFmtId="0" fontId="13" fillId="0" borderId="1" xfId="0" applyFont="1" applyBorder="1" applyAlignment="1">
      <alignment horizontal="left" vertical="top" wrapText="1"/>
    </xf>
    <xf numFmtId="0" fontId="0" fillId="0" borderId="1" xfId="0" applyBorder="1" applyAlignment="1">
      <alignment vertical="center" wrapText="1"/>
    </xf>
    <xf numFmtId="0" fontId="29" fillId="0" borderId="1" xfId="0" applyFont="1" applyBorder="1" applyAlignment="1">
      <alignment vertical="center" wrapText="1"/>
    </xf>
    <xf numFmtId="0" fontId="2" fillId="0" borderId="1" xfId="0" applyFont="1" applyBorder="1" applyAlignment="1">
      <alignment horizontal="left" vertical="top" wrapText="1"/>
    </xf>
    <xf numFmtId="0" fontId="2" fillId="0" borderId="6" xfId="0" applyFont="1" applyBorder="1" applyAlignment="1">
      <alignment horizontal="left" vertical="top"/>
    </xf>
    <xf numFmtId="0" fontId="2" fillId="0" borderId="10" xfId="0" applyFont="1" applyBorder="1" applyAlignment="1">
      <alignment horizontal="left" vertical="top"/>
    </xf>
    <xf numFmtId="2" fontId="11" fillId="5" borderId="12" xfId="3" applyNumberFormat="1" applyFont="1" applyFill="1" applyBorder="1" applyAlignment="1">
      <alignment horizontal="center" vertical="center"/>
    </xf>
    <xf numFmtId="2" fontId="11" fillId="5" borderId="14" xfId="3" applyNumberFormat="1" applyFont="1" applyFill="1" applyBorder="1" applyAlignment="1">
      <alignment horizontal="center" vertical="center"/>
    </xf>
    <xf numFmtId="2" fontId="11" fillId="5" borderId="7" xfId="3" applyNumberFormat="1" applyFont="1" applyFill="1" applyBorder="1" applyAlignment="1">
      <alignment horizontal="center" vertical="center"/>
    </xf>
    <xf numFmtId="0" fontId="18" fillId="0" borderId="0" xfId="1" applyFont="1" applyFill="1" applyBorder="1" applyAlignment="1">
      <alignment horizontal="left" vertical="top" wrapText="1"/>
    </xf>
    <xf numFmtId="0" fontId="34" fillId="0" borderId="0" xfId="0" applyFont="1" applyAlignment="1">
      <alignment horizontal="center"/>
    </xf>
    <xf numFmtId="0" fontId="0" fillId="0" borderId="0" xfId="0" applyFont="1" applyAlignment="1">
      <alignment horizontal="center"/>
    </xf>
    <xf numFmtId="0" fontId="18" fillId="0" borderId="0" xfId="1" applyFont="1" applyFill="1" applyBorder="1" applyAlignment="1">
      <alignment horizontal="center" vertical="top" wrapText="1"/>
    </xf>
    <xf numFmtId="0" fontId="18" fillId="0" borderId="0" xfId="1" applyFont="1" applyFill="1" applyBorder="1" applyAlignment="1">
      <alignment horizontal="left" vertical="justify" wrapText="1"/>
    </xf>
  </cellXfs>
  <cellStyles count="55">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cellStyle name="Input" xfId="4" builtinId="20"/>
    <cellStyle name="Normal" xfId="0" builtinId="0"/>
    <cellStyle name="Normal 2" xfId="1"/>
    <cellStyle name="Normal 3" xfId="2"/>
    <cellStyle name="Normal 3 2" xfId="3"/>
  </cellStyles>
  <dxfs count="0"/>
  <tableStyles count="0" defaultTableStyle="TableStyleMedium2" defaultPivotStyle="PivotStyleMedium4"/>
  <colors>
    <mruColors>
      <color rgb="FF9A0293"/>
      <color rgb="FFAA06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6</xdr:col>
      <xdr:colOff>262566</xdr:colOff>
      <xdr:row>30</xdr:row>
      <xdr:rowOff>108856</xdr:rowOff>
    </xdr:from>
    <xdr:to>
      <xdr:col>6</xdr:col>
      <xdr:colOff>536886</xdr:colOff>
      <xdr:row>30</xdr:row>
      <xdr:rowOff>383176</xdr:rowOff>
    </xdr:to>
    <xdr:pic macro="[0]!Picture15_Click">
      <xdr:nvPicPr>
        <xdr:cNvPr id="1039" name="Picture 15"/>
        <xdr:cNvPicPr>
          <a:picLocks noChangeAspect="1" noChangeArrowheads="1"/>
        </xdr:cNvPicPr>
      </xdr:nvPicPr>
      <xdr:blipFill>
        <a:blip xmlns:r="http://schemas.openxmlformats.org/officeDocument/2006/relationships" r:embed="rId1"/>
        <a:srcRect/>
        <a:stretch>
          <a:fillRect/>
        </a:stretch>
      </xdr:blipFill>
      <xdr:spPr bwMode="auto">
        <a:xfrm>
          <a:off x="13420673" y="11253106"/>
          <a:ext cx="274320" cy="274320"/>
        </a:xfrm>
        <a:prstGeom prst="rect">
          <a:avLst/>
        </a:prstGeom>
        <a:noFill/>
      </xdr:spPr>
    </xdr:pic>
    <xdr:clientData/>
  </xdr:twoCellAnchor>
  <xdr:twoCellAnchor editAs="oneCell">
    <xdr:from>
      <xdr:col>6</xdr:col>
      <xdr:colOff>261330</xdr:colOff>
      <xdr:row>31</xdr:row>
      <xdr:rowOff>108856</xdr:rowOff>
    </xdr:from>
    <xdr:to>
      <xdr:col>6</xdr:col>
      <xdr:colOff>538122</xdr:colOff>
      <xdr:row>31</xdr:row>
      <xdr:rowOff>383176</xdr:rowOff>
    </xdr:to>
    <xdr:pic macro="[0]!Picture16_Click">
      <xdr:nvPicPr>
        <xdr:cNvPr id="1040" name="Picture 16"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11715749"/>
          <a:ext cx="276792" cy="274320"/>
        </a:xfrm>
        <a:prstGeom prst="rect">
          <a:avLst/>
        </a:prstGeom>
        <a:noFill/>
      </xdr:spPr>
    </xdr:pic>
    <xdr:clientData/>
  </xdr:twoCellAnchor>
  <xdr:twoCellAnchor editAs="oneCell">
    <xdr:from>
      <xdr:col>6</xdr:col>
      <xdr:colOff>263176</xdr:colOff>
      <xdr:row>32</xdr:row>
      <xdr:rowOff>108856</xdr:rowOff>
    </xdr:from>
    <xdr:to>
      <xdr:col>6</xdr:col>
      <xdr:colOff>536277</xdr:colOff>
      <xdr:row>32</xdr:row>
      <xdr:rowOff>383176</xdr:rowOff>
    </xdr:to>
    <xdr:pic macro="[0]!Picture19_Click">
      <xdr:nvPicPr>
        <xdr:cNvPr id="1043" name="Picture 19"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12205606"/>
          <a:ext cx="273101" cy="274320"/>
        </a:xfrm>
        <a:prstGeom prst="rect">
          <a:avLst/>
        </a:prstGeom>
        <a:noFill/>
      </xdr:spPr>
    </xdr:pic>
    <xdr:clientData/>
  </xdr:twoCellAnchor>
  <xdr:twoCellAnchor editAs="oneCell">
    <xdr:from>
      <xdr:col>6</xdr:col>
      <xdr:colOff>262566</xdr:colOff>
      <xdr:row>34</xdr:row>
      <xdr:rowOff>108856</xdr:rowOff>
    </xdr:from>
    <xdr:to>
      <xdr:col>6</xdr:col>
      <xdr:colOff>536886</xdr:colOff>
      <xdr:row>34</xdr:row>
      <xdr:rowOff>383176</xdr:rowOff>
    </xdr:to>
    <xdr:pic macro="[0]!Picture20_Click">
      <xdr:nvPicPr>
        <xdr:cNvPr id="1044" name="Picture 20"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2926785"/>
          <a:ext cx="274320" cy="274320"/>
        </a:xfrm>
        <a:prstGeom prst="rect">
          <a:avLst/>
        </a:prstGeom>
        <a:noFill/>
      </xdr:spPr>
    </xdr:pic>
    <xdr:clientData/>
  </xdr:twoCellAnchor>
  <xdr:twoCellAnchor editAs="oneCell">
    <xdr:from>
      <xdr:col>6</xdr:col>
      <xdr:colOff>262566</xdr:colOff>
      <xdr:row>35</xdr:row>
      <xdr:rowOff>108856</xdr:rowOff>
    </xdr:from>
    <xdr:to>
      <xdr:col>6</xdr:col>
      <xdr:colOff>536886</xdr:colOff>
      <xdr:row>35</xdr:row>
      <xdr:rowOff>383176</xdr:rowOff>
    </xdr:to>
    <xdr:pic macro="[0]!Picture21_Click">
      <xdr:nvPicPr>
        <xdr:cNvPr id="1045" name="Picture 21"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3607142"/>
          <a:ext cx="274320" cy="274320"/>
        </a:xfrm>
        <a:prstGeom prst="rect">
          <a:avLst/>
        </a:prstGeom>
        <a:noFill/>
      </xdr:spPr>
    </xdr:pic>
    <xdr:clientData/>
  </xdr:twoCellAnchor>
  <xdr:twoCellAnchor editAs="oneCell">
    <xdr:from>
      <xdr:col>6</xdr:col>
      <xdr:colOff>261330</xdr:colOff>
      <xdr:row>37</xdr:row>
      <xdr:rowOff>149677</xdr:rowOff>
    </xdr:from>
    <xdr:to>
      <xdr:col>6</xdr:col>
      <xdr:colOff>538122</xdr:colOff>
      <xdr:row>37</xdr:row>
      <xdr:rowOff>423997</xdr:rowOff>
    </xdr:to>
    <xdr:pic macro="[0]!Picture22_Click">
      <xdr:nvPicPr>
        <xdr:cNvPr id="1046" name="Picture 22"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14477998"/>
          <a:ext cx="276792" cy="274320"/>
        </a:xfrm>
        <a:prstGeom prst="rect">
          <a:avLst/>
        </a:prstGeom>
        <a:noFill/>
      </xdr:spPr>
    </xdr:pic>
    <xdr:clientData/>
  </xdr:twoCellAnchor>
  <xdr:twoCellAnchor editAs="oneCell">
    <xdr:from>
      <xdr:col>6</xdr:col>
      <xdr:colOff>261330</xdr:colOff>
      <xdr:row>38</xdr:row>
      <xdr:rowOff>79467</xdr:rowOff>
    </xdr:from>
    <xdr:to>
      <xdr:col>6</xdr:col>
      <xdr:colOff>538122</xdr:colOff>
      <xdr:row>38</xdr:row>
      <xdr:rowOff>353787</xdr:rowOff>
    </xdr:to>
    <xdr:pic macro="[0]!Picture23_Click">
      <xdr:nvPicPr>
        <xdr:cNvPr id="1047" name="Picture 23"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13931538"/>
          <a:ext cx="276792" cy="274320"/>
        </a:xfrm>
        <a:prstGeom prst="rect">
          <a:avLst/>
        </a:prstGeom>
        <a:noFill/>
      </xdr:spPr>
    </xdr:pic>
    <xdr:clientData/>
  </xdr:twoCellAnchor>
  <xdr:twoCellAnchor editAs="oneCell">
    <xdr:from>
      <xdr:col>6</xdr:col>
      <xdr:colOff>261951</xdr:colOff>
      <xdr:row>39</xdr:row>
      <xdr:rowOff>149677</xdr:rowOff>
    </xdr:from>
    <xdr:to>
      <xdr:col>6</xdr:col>
      <xdr:colOff>537501</xdr:colOff>
      <xdr:row>39</xdr:row>
      <xdr:rowOff>423997</xdr:rowOff>
    </xdr:to>
    <xdr:pic macro="[0]!Picture24_Click">
      <xdr:nvPicPr>
        <xdr:cNvPr id="1048" name="Picture 24"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15457713"/>
          <a:ext cx="275550" cy="274320"/>
        </a:xfrm>
        <a:prstGeom prst="rect">
          <a:avLst/>
        </a:prstGeom>
        <a:noFill/>
      </xdr:spPr>
    </xdr:pic>
    <xdr:clientData/>
  </xdr:twoCellAnchor>
  <xdr:twoCellAnchor editAs="oneCell">
    <xdr:from>
      <xdr:col>6</xdr:col>
      <xdr:colOff>262566</xdr:colOff>
      <xdr:row>40</xdr:row>
      <xdr:rowOff>149677</xdr:rowOff>
    </xdr:from>
    <xdr:to>
      <xdr:col>6</xdr:col>
      <xdr:colOff>536886</xdr:colOff>
      <xdr:row>40</xdr:row>
      <xdr:rowOff>423997</xdr:rowOff>
    </xdr:to>
    <xdr:pic macro="[0]!Picture25_Click">
      <xdr:nvPicPr>
        <xdr:cNvPr id="1049" name="Picture 25"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5893141"/>
          <a:ext cx="274320" cy="274320"/>
        </a:xfrm>
        <a:prstGeom prst="rect">
          <a:avLst/>
        </a:prstGeom>
        <a:noFill/>
      </xdr:spPr>
    </xdr:pic>
    <xdr:clientData/>
  </xdr:twoCellAnchor>
  <xdr:twoCellAnchor editAs="oneCell">
    <xdr:from>
      <xdr:col>6</xdr:col>
      <xdr:colOff>262566</xdr:colOff>
      <xdr:row>41</xdr:row>
      <xdr:rowOff>149677</xdr:rowOff>
    </xdr:from>
    <xdr:to>
      <xdr:col>6</xdr:col>
      <xdr:colOff>536886</xdr:colOff>
      <xdr:row>41</xdr:row>
      <xdr:rowOff>423997</xdr:rowOff>
    </xdr:to>
    <xdr:pic macro="[0]!Picture26_Click">
      <xdr:nvPicPr>
        <xdr:cNvPr id="1050" name="Picture 26"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6369391"/>
          <a:ext cx="274320" cy="274320"/>
        </a:xfrm>
        <a:prstGeom prst="rect">
          <a:avLst/>
        </a:prstGeom>
        <a:noFill/>
      </xdr:spPr>
    </xdr:pic>
    <xdr:clientData/>
  </xdr:twoCellAnchor>
  <xdr:twoCellAnchor editAs="oneCell">
    <xdr:from>
      <xdr:col>6</xdr:col>
      <xdr:colOff>262871</xdr:colOff>
      <xdr:row>43</xdr:row>
      <xdr:rowOff>81642</xdr:rowOff>
    </xdr:from>
    <xdr:to>
      <xdr:col>6</xdr:col>
      <xdr:colOff>536581</xdr:colOff>
      <xdr:row>43</xdr:row>
      <xdr:rowOff>355962</xdr:rowOff>
    </xdr:to>
    <xdr:pic macro="[0]!Picture27_Click">
      <xdr:nvPicPr>
        <xdr:cNvPr id="1051" name="Picture 27"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978" y="17090571"/>
          <a:ext cx="273710" cy="274320"/>
        </a:xfrm>
        <a:prstGeom prst="rect">
          <a:avLst/>
        </a:prstGeom>
        <a:noFill/>
      </xdr:spPr>
    </xdr:pic>
    <xdr:clientData/>
  </xdr:twoCellAnchor>
  <xdr:twoCellAnchor editAs="oneCell">
    <xdr:from>
      <xdr:col>6</xdr:col>
      <xdr:colOff>263478</xdr:colOff>
      <xdr:row>44</xdr:row>
      <xdr:rowOff>81642</xdr:rowOff>
    </xdr:from>
    <xdr:to>
      <xdr:col>6</xdr:col>
      <xdr:colOff>535974</xdr:colOff>
      <xdr:row>44</xdr:row>
      <xdr:rowOff>355962</xdr:rowOff>
    </xdr:to>
    <xdr:pic macro="[0]!Picture28_Click">
      <xdr:nvPicPr>
        <xdr:cNvPr id="1052" name="Picture 28"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1585" y="17539606"/>
          <a:ext cx="272496" cy="274320"/>
        </a:xfrm>
        <a:prstGeom prst="rect">
          <a:avLst/>
        </a:prstGeom>
        <a:noFill/>
      </xdr:spPr>
    </xdr:pic>
    <xdr:clientData/>
  </xdr:twoCellAnchor>
  <xdr:twoCellAnchor editAs="oneCell">
    <xdr:from>
      <xdr:col>6</xdr:col>
      <xdr:colOff>262566</xdr:colOff>
      <xdr:row>45</xdr:row>
      <xdr:rowOff>81642</xdr:rowOff>
    </xdr:from>
    <xdr:to>
      <xdr:col>6</xdr:col>
      <xdr:colOff>536886</xdr:colOff>
      <xdr:row>45</xdr:row>
      <xdr:rowOff>355962</xdr:rowOff>
    </xdr:to>
    <xdr:pic macro="[0]!Picture30_Click">
      <xdr:nvPicPr>
        <xdr:cNvPr id="1054" name="Picture 30"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8029463"/>
          <a:ext cx="274320" cy="274320"/>
        </a:xfrm>
        <a:prstGeom prst="rect">
          <a:avLst/>
        </a:prstGeom>
        <a:noFill/>
      </xdr:spPr>
    </xdr:pic>
    <xdr:clientData/>
  </xdr:twoCellAnchor>
  <xdr:twoCellAnchor editAs="oneCell">
    <xdr:from>
      <xdr:col>6</xdr:col>
      <xdr:colOff>261641</xdr:colOff>
      <xdr:row>46</xdr:row>
      <xdr:rowOff>81642</xdr:rowOff>
    </xdr:from>
    <xdr:to>
      <xdr:col>6</xdr:col>
      <xdr:colOff>537811</xdr:colOff>
      <xdr:row>46</xdr:row>
      <xdr:rowOff>355962</xdr:rowOff>
    </xdr:to>
    <xdr:pic macro="[0]!Picture31_Click">
      <xdr:nvPicPr>
        <xdr:cNvPr id="1055" name="Picture 31"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19748" y="18995571"/>
          <a:ext cx="276170" cy="274320"/>
        </a:xfrm>
        <a:prstGeom prst="rect">
          <a:avLst/>
        </a:prstGeom>
        <a:noFill/>
      </xdr:spPr>
    </xdr:pic>
    <xdr:clientData/>
  </xdr:twoCellAnchor>
  <xdr:twoCellAnchor editAs="oneCell">
    <xdr:from>
      <xdr:col>6</xdr:col>
      <xdr:colOff>262566</xdr:colOff>
      <xdr:row>48</xdr:row>
      <xdr:rowOff>81642</xdr:rowOff>
    </xdr:from>
    <xdr:to>
      <xdr:col>6</xdr:col>
      <xdr:colOff>536886</xdr:colOff>
      <xdr:row>48</xdr:row>
      <xdr:rowOff>355962</xdr:rowOff>
    </xdr:to>
    <xdr:pic macro="[0]!Picture32_Click">
      <xdr:nvPicPr>
        <xdr:cNvPr id="1056" name="Picture 32" descr="C:\Users\TOKIDO-SAYA\AppData\Local\Microsoft\Windows\Temporary Internet Files\Content.IE5\DYQQQFZX\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9458213"/>
          <a:ext cx="274320" cy="274320"/>
        </a:xfrm>
        <a:prstGeom prst="rect">
          <a:avLst/>
        </a:prstGeom>
        <a:noFill/>
      </xdr:spPr>
    </xdr:pic>
    <xdr:clientData/>
  </xdr:twoCellAnchor>
  <xdr:twoCellAnchor editAs="oneCell">
    <xdr:from>
      <xdr:col>6</xdr:col>
      <xdr:colOff>262566</xdr:colOff>
      <xdr:row>49</xdr:row>
      <xdr:rowOff>81642</xdr:rowOff>
    </xdr:from>
    <xdr:to>
      <xdr:col>6</xdr:col>
      <xdr:colOff>536886</xdr:colOff>
      <xdr:row>49</xdr:row>
      <xdr:rowOff>355962</xdr:rowOff>
    </xdr:to>
    <xdr:pic macro="[0]!AssessmentTool_Picture5_Click">
      <xdr:nvPicPr>
        <xdr:cNvPr id="4" name="Picture 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20138571"/>
          <a:ext cx="274320" cy="274320"/>
        </a:xfrm>
        <a:prstGeom prst="rect">
          <a:avLst/>
        </a:prstGeom>
        <a:noFill/>
      </xdr:spPr>
    </xdr:pic>
    <xdr:clientData/>
  </xdr:twoCellAnchor>
  <xdr:twoCellAnchor editAs="oneCell">
    <xdr:from>
      <xdr:col>6</xdr:col>
      <xdr:colOff>262259</xdr:colOff>
      <xdr:row>51</xdr:row>
      <xdr:rowOff>68035</xdr:rowOff>
    </xdr:from>
    <xdr:to>
      <xdr:col>6</xdr:col>
      <xdr:colOff>537193</xdr:colOff>
      <xdr:row>51</xdr:row>
      <xdr:rowOff>342355</xdr:rowOff>
    </xdr:to>
    <xdr:pic macro="[0]!Picture6_Click">
      <xdr:nvPicPr>
        <xdr:cNvPr id="5" name="Picture 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19009178"/>
          <a:ext cx="274934" cy="274320"/>
        </a:xfrm>
        <a:prstGeom prst="rect">
          <a:avLst/>
        </a:prstGeom>
        <a:noFill/>
      </xdr:spPr>
    </xdr:pic>
    <xdr:clientData/>
  </xdr:twoCellAnchor>
  <xdr:twoCellAnchor editAs="oneCell">
    <xdr:from>
      <xdr:col>6</xdr:col>
      <xdr:colOff>262566</xdr:colOff>
      <xdr:row>52</xdr:row>
      <xdr:rowOff>68035</xdr:rowOff>
    </xdr:from>
    <xdr:to>
      <xdr:col>6</xdr:col>
      <xdr:colOff>536886</xdr:colOff>
      <xdr:row>52</xdr:row>
      <xdr:rowOff>342355</xdr:rowOff>
    </xdr:to>
    <xdr:pic macro="[0]!AssessmentTool_Picture7_Click">
      <xdr:nvPicPr>
        <xdr:cNvPr id="6" name="Picture 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19417392"/>
          <a:ext cx="274320" cy="274320"/>
        </a:xfrm>
        <a:prstGeom prst="rect">
          <a:avLst/>
        </a:prstGeom>
        <a:noFill/>
      </xdr:spPr>
    </xdr:pic>
    <xdr:clientData/>
  </xdr:twoCellAnchor>
  <xdr:twoCellAnchor editAs="oneCell">
    <xdr:from>
      <xdr:col>6</xdr:col>
      <xdr:colOff>261641</xdr:colOff>
      <xdr:row>53</xdr:row>
      <xdr:rowOff>68035</xdr:rowOff>
    </xdr:from>
    <xdr:to>
      <xdr:col>6</xdr:col>
      <xdr:colOff>537811</xdr:colOff>
      <xdr:row>53</xdr:row>
      <xdr:rowOff>342355</xdr:rowOff>
    </xdr:to>
    <xdr:pic macro="[0]!AssessmentTool_Picture8_2_Click">
      <xdr:nvPicPr>
        <xdr:cNvPr id="7" name="Picture 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748" y="19798392"/>
          <a:ext cx="276170" cy="274320"/>
        </a:xfrm>
        <a:prstGeom prst="rect">
          <a:avLst/>
        </a:prstGeom>
        <a:noFill/>
      </xdr:spPr>
    </xdr:pic>
    <xdr:clientData/>
  </xdr:twoCellAnchor>
  <xdr:twoCellAnchor editAs="oneCell">
    <xdr:from>
      <xdr:col>6</xdr:col>
      <xdr:colOff>262566</xdr:colOff>
      <xdr:row>54</xdr:row>
      <xdr:rowOff>68035</xdr:rowOff>
    </xdr:from>
    <xdr:to>
      <xdr:col>6</xdr:col>
      <xdr:colOff>536886</xdr:colOff>
      <xdr:row>54</xdr:row>
      <xdr:rowOff>342355</xdr:rowOff>
    </xdr:to>
    <xdr:pic macro="[0]!AssessmentTool_Picture9_2_Click">
      <xdr:nvPicPr>
        <xdr:cNvPr id="9" name="Picture 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20261035"/>
          <a:ext cx="274320" cy="274320"/>
        </a:xfrm>
        <a:prstGeom prst="rect">
          <a:avLst/>
        </a:prstGeom>
        <a:noFill/>
      </xdr:spPr>
    </xdr:pic>
    <xdr:clientData/>
  </xdr:twoCellAnchor>
  <xdr:twoCellAnchor editAs="oneCell">
    <xdr:from>
      <xdr:col>6</xdr:col>
      <xdr:colOff>262871</xdr:colOff>
      <xdr:row>55</xdr:row>
      <xdr:rowOff>68035</xdr:rowOff>
    </xdr:from>
    <xdr:to>
      <xdr:col>6</xdr:col>
      <xdr:colOff>536581</xdr:colOff>
      <xdr:row>55</xdr:row>
      <xdr:rowOff>342355</xdr:rowOff>
    </xdr:to>
    <xdr:pic macro="[0]!AssessmentTool_Picture10_2_Click">
      <xdr:nvPicPr>
        <xdr:cNvPr id="10" name="Picture 1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978" y="20696464"/>
          <a:ext cx="273710" cy="274320"/>
        </a:xfrm>
        <a:prstGeom prst="rect">
          <a:avLst/>
        </a:prstGeom>
        <a:noFill/>
      </xdr:spPr>
    </xdr:pic>
    <xdr:clientData/>
  </xdr:twoCellAnchor>
  <xdr:twoCellAnchor editAs="oneCell">
    <xdr:from>
      <xdr:col>6</xdr:col>
      <xdr:colOff>262871</xdr:colOff>
      <xdr:row>56</xdr:row>
      <xdr:rowOff>68035</xdr:rowOff>
    </xdr:from>
    <xdr:to>
      <xdr:col>6</xdr:col>
      <xdr:colOff>536581</xdr:colOff>
      <xdr:row>56</xdr:row>
      <xdr:rowOff>342355</xdr:rowOff>
    </xdr:to>
    <xdr:pic macro="[0]!AssessmentTool_Picture11_Click">
      <xdr:nvPicPr>
        <xdr:cNvPr id="11" name="Picture 1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978" y="21145499"/>
          <a:ext cx="273710" cy="274320"/>
        </a:xfrm>
        <a:prstGeom prst="rect">
          <a:avLst/>
        </a:prstGeom>
        <a:noFill/>
      </xdr:spPr>
    </xdr:pic>
    <xdr:clientData/>
  </xdr:twoCellAnchor>
  <xdr:twoCellAnchor editAs="oneCell">
    <xdr:from>
      <xdr:col>6</xdr:col>
      <xdr:colOff>261951</xdr:colOff>
      <xdr:row>57</xdr:row>
      <xdr:rowOff>68035</xdr:rowOff>
    </xdr:from>
    <xdr:to>
      <xdr:col>6</xdr:col>
      <xdr:colOff>537501</xdr:colOff>
      <xdr:row>57</xdr:row>
      <xdr:rowOff>342355</xdr:rowOff>
    </xdr:to>
    <xdr:pic macro="[0]!AssessmentTool_Picture12_Click">
      <xdr:nvPicPr>
        <xdr:cNvPr id="12" name="Picture 1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21594535"/>
          <a:ext cx="275550" cy="274320"/>
        </a:xfrm>
        <a:prstGeom prst="rect">
          <a:avLst/>
        </a:prstGeom>
        <a:noFill/>
      </xdr:spPr>
    </xdr:pic>
    <xdr:clientData/>
  </xdr:twoCellAnchor>
  <xdr:twoCellAnchor editAs="oneCell">
    <xdr:from>
      <xdr:col>6</xdr:col>
      <xdr:colOff>262259</xdr:colOff>
      <xdr:row>58</xdr:row>
      <xdr:rowOff>68035</xdr:rowOff>
    </xdr:from>
    <xdr:to>
      <xdr:col>6</xdr:col>
      <xdr:colOff>537193</xdr:colOff>
      <xdr:row>58</xdr:row>
      <xdr:rowOff>342355</xdr:rowOff>
    </xdr:to>
    <xdr:pic macro="[0]!AssessmentTool_Picture13_Click">
      <xdr:nvPicPr>
        <xdr:cNvPr id="13" name="Picture 1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22029964"/>
          <a:ext cx="274934" cy="274320"/>
        </a:xfrm>
        <a:prstGeom prst="rect">
          <a:avLst/>
        </a:prstGeom>
        <a:noFill/>
      </xdr:spPr>
    </xdr:pic>
    <xdr:clientData/>
  </xdr:twoCellAnchor>
  <xdr:twoCellAnchor editAs="oneCell">
    <xdr:from>
      <xdr:col>6</xdr:col>
      <xdr:colOff>262566</xdr:colOff>
      <xdr:row>59</xdr:row>
      <xdr:rowOff>122463</xdr:rowOff>
    </xdr:from>
    <xdr:to>
      <xdr:col>6</xdr:col>
      <xdr:colOff>536886</xdr:colOff>
      <xdr:row>59</xdr:row>
      <xdr:rowOff>396783</xdr:rowOff>
    </xdr:to>
    <xdr:pic macro="[0]!AssessmentTool_Picture14_Click">
      <xdr:nvPicPr>
        <xdr:cNvPr id="14" name="Picture 1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22492606"/>
          <a:ext cx="274320" cy="274320"/>
        </a:xfrm>
        <a:prstGeom prst="rect">
          <a:avLst/>
        </a:prstGeom>
        <a:noFill/>
      </xdr:spPr>
    </xdr:pic>
    <xdr:clientData/>
  </xdr:twoCellAnchor>
  <xdr:twoCellAnchor editAs="oneCell">
    <xdr:from>
      <xdr:col>6</xdr:col>
      <xdr:colOff>261951</xdr:colOff>
      <xdr:row>60</xdr:row>
      <xdr:rowOff>122463</xdr:rowOff>
    </xdr:from>
    <xdr:to>
      <xdr:col>6</xdr:col>
      <xdr:colOff>537501</xdr:colOff>
      <xdr:row>60</xdr:row>
      <xdr:rowOff>396783</xdr:rowOff>
    </xdr:to>
    <xdr:pic macro="[0]!AssessmentTool_Picture15_Click">
      <xdr:nvPicPr>
        <xdr:cNvPr id="15" name="Picture 1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22968856"/>
          <a:ext cx="275550" cy="274320"/>
        </a:xfrm>
        <a:prstGeom prst="rect">
          <a:avLst/>
        </a:prstGeom>
        <a:noFill/>
      </xdr:spPr>
    </xdr:pic>
    <xdr:clientData/>
  </xdr:twoCellAnchor>
  <xdr:twoCellAnchor editAs="oneCell">
    <xdr:from>
      <xdr:col>6</xdr:col>
      <xdr:colOff>263478</xdr:colOff>
      <xdr:row>61</xdr:row>
      <xdr:rowOff>122463</xdr:rowOff>
    </xdr:from>
    <xdr:to>
      <xdr:col>6</xdr:col>
      <xdr:colOff>535974</xdr:colOff>
      <xdr:row>61</xdr:row>
      <xdr:rowOff>394061</xdr:rowOff>
    </xdr:to>
    <xdr:pic macro="[0]!AssessmentTool_Picture16_Click">
      <xdr:nvPicPr>
        <xdr:cNvPr id="16" name="Picture 1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585" y="23404284"/>
          <a:ext cx="272496" cy="274320"/>
        </a:xfrm>
        <a:prstGeom prst="rect">
          <a:avLst/>
        </a:prstGeom>
        <a:noFill/>
      </xdr:spPr>
    </xdr:pic>
    <xdr:clientData/>
  </xdr:twoCellAnchor>
  <xdr:twoCellAnchor editAs="oneCell">
    <xdr:from>
      <xdr:col>6</xdr:col>
      <xdr:colOff>262259</xdr:colOff>
      <xdr:row>62</xdr:row>
      <xdr:rowOff>122463</xdr:rowOff>
    </xdr:from>
    <xdr:to>
      <xdr:col>6</xdr:col>
      <xdr:colOff>537193</xdr:colOff>
      <xdr:row>62</xdr:row>
      <xdr:rowOff>396783</xdr:rowOff>
    </xdr:to>
    <xdr:pic macro="[0]!Picture17_Click">
      <xdr:nvPicPr>
        <xdr:cNvPr id="1041" name="Picture 1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23798892"/>
          <a:ext cx="274934" cy="274320"/>
        </a:xfrm>
        <a:prstGeom prst="rect">
          <a:avLst/>
        </a:prstGeom>
        <a:noFill/>
      </xdr:spPr>
    </xdr:pic>
    <xdr:clientData/>
  </xdr:twoCellAnchor>
  <xdr:twoCellAnchor editAs="oneCell">
    <xdr:from>
      <xdr:col>6</xdr:col>
      <xdr:colOff>261951</xdr:colOff>
      <xdr:row>63</xdr:row>
      <xdr:rowOff>122463</xdr:rowOff>
    </xdr:from>
    <xdr:to>
      <xdr:col>6</xdr:col>
      <xdr:colOff>537501</xdr:colOff>
      <xdr:row>63</xdr:row>
      <xdr:rowOff>396783</xdr:rowOff>
    </xdr:to>
    <xdr:pic macro="[0]!Picture18_Click">
      <xdr:nvPicPr>
        <xdr:cNvPr id="1042" name="Picture 1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24207106"/>
          <a:ext cx="275550" cy="274320"/>
        </a:xfrm>
        <a:prstGeom prst="rect">
          <a:avLst/>
        </a:prstGeom>
        <a:noFill/>
      </xdr:spPr>
    </xdr:pic>
    <xdr:clientData/>
  </xdr:twoCellAnchor>
  <xdr:twoCellAnchor editAs="oneCell">
    <xdr:from>
      <xdr:col>6</xdr:col>
      <xdr:colOff>261951</xdr:colOff>
      <xdr:row>64</xdr:row>
      <xdr:rowOff>122463</xdr:rowOff>
    </xdr:from>
    <xdr:to>
      <xdr:col>6</xdr:col>
      <xdr:colOff>537501</xdr:colOff>
      <xdr:row>64</xdr:row>
      <xdr:rowOff>396783</xdr:rowOff>
    </xdr:to>
    <xdr:pic macro="[0]!AssessmentTool_Picture19_Click">
      <xdr:nvPicPr>
        <xdr:cNvPr id="17" name="Picture 1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24642534"/>
          <a:ext cx="275550" cy="274320"/>
        </a:xfrm>
        <a:prstGeom prst="rect">
          <a:avLst/>
        </a:prstGeom>
        <a:noFill/>
      </xdr:spPr>
    </xdr:pic>
    <xdr:clientData/>
  </xdr:twoCellAnchor>
  <xdr:twoCellAnchor editAs="oneCell">
    <xdr:from>
      <xdr:col>6</xdr:col>
      <xdr:colOff>261330</xdr:colOff>
      <xdr:row>65</xdr:row>
      <xdr:rowOff>122463</xdr:rowOff>
    </xdr:from>
    <xdr:to>
      <xdr:col>6</xdr:col>
      <xdr:colOff>538122</xdr:colOff>
      <xdr:row>65</xdr:row>
      <xdr:rowOff>394062</xdr:rowOff>
    </xdr:to>
    <xdr:pic macro="[0]!AssessmentTool_Picture20_Click">
      <xdr:nvPicPr>
        <xdr:cNvPr id="18" name="Picture 2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25077963"/>
          <a:ext cx="276792" cy="274320"/>
        </a:xfrm>
        <a:prstGeom prst="rect">
          <a:avLst/>
        </a:prstGeom>
        <a:noFill/>
      </xdr:spPr>
    </xdr:pic>
    <xdr:clientData/>
  </xdr:twoCellAnchor>
  <xdr:twoCellAnchor editAs="oneCell">
    <xdr:from>
      <xdr:col>6</xdr:col>
      <xdr:colOff>261331</xdr:colOff>
      <xdr:row>66</xdr:row>
      <xdr:rowOff>122463</xdr:rowOff>
    </xdr:from>
    <xdr:to>
      <xdr:col>6</xdr:col>
      <xdr:colOff>538122</xdr:colOff>
      <xdr:row>66</xdr:row>
      <xdr:rowOff>394062</xdr:rowOff>
    </xdr:to>
    <xdr:pic macro="[0]!AssessmentTool_Picture21_Click">
      <xdr:nvPicPr>
        <xdr:cNvPr id="19" name="Picture 2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438" y="25472570"/>
          <a:ext cx="276791" cy="274320"/>
        </a:xfrm>
        <a:prstGeom prst="rect">
          <a:avLst/>
        </a:prstGeom>
        <a:noFill/>
      </xdr:spPr>
    </xdr:pic>
    <xdr:clientData/>
  </xdr:twoCellAnchor>
  <xdr:twoCellAnchor editAs="oneCell">
    <xdr:from>
      <xdr:col>6</xdr:col>
      <xdr:colOff>261330</xdr:colOff>
      <xdr:row>67</xdr:row>
      <xdr:rowOff>68035</xdr:rowOff>
    </xdr:from>
    <xdr:to>
      <xdr:col>6</xdr:col>
      <xdr:colOff>538122</xdr:colOff>
      <xdr:row>67</xdr:row>
      <xdr:rowOff>342355</xdr:rowOff>
    </xdr:to>
    <xdr:pic macro="[0]!AssessmentTool_Picture22_Click">
      <xdr:nvPicPr>
        <xdr:cNvPr id="20" name="Picture 2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25812749"/>
          <a:ext cx="276792" cy="274320"/>
        </a:xfrm>
        <a:prstGeom prst="rect">
          <a:avLst/>
        </a:prstGeom>
        <a:noFill/>
      </xdr:spPr>
    </xdr:pic>
    <xdr:clientData/>
  </xdr:twoCellAnchor>
  <xdr:twoCellAnchor editAs="oneCell">
    <xdr:from>
      <xdr:col>6</xdr:col>
      <xdr:colOff>261951</xdr:colOff>
      <xdr:row>68</xdr:row>
      <xdr:rowOff>68035</xdr:rowOff>
    </xdr:from>
    <xdr:to>
      <xdr:col>6</xdr:col>
      <xdr:colOff>537501</xdr:colOff>
      <xdr:row>68</xdr:row>
      <xdr:rowOff>342355</xdr:rowOff>
    </xdr:to>
    <xdr:pic macro="[0]!AssessmentTool_Picture23_Click">
      <xdr:nvPicPr>
        <xdr:cNvPr id="21" name="Picture 2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26207356"/>
          <a:ext cx="275550" cy="274320"/>
        </a:xfrm>
        <a:prstGeom prst="rect">
          <a:avLst/>
        </a:prstGeom>
        <a:noFill/>
      </xdr:spPr>
    </xdr:pic>
    <xdr:clientData/>
  </xdr:twoCellAnchor>
  <xdr:twoCellAnchor editAs="oneCell">
    <xdr:from>
      <xdr:col>6</xdr:col>
      <xdr:colOff>261330</xdr:colOff>
      <xdr:row>69</xdr:row>
      <xdr:rowOff>68035</xdr:rowOff>
    </xdr:from>
    <xdr:to>
      <xdr:col>6</xdr:col>
      <xdr:colOff>538122</xdr:colOff>
      <xdr:row>69</xdr:row>
      <xdr:rowOff>342355</xdr:rowOff>
    </xdr:to>
    <xdr:pic macro="[0]!AssessmentTool_Picture24_Click">
      <xdr:nvPicPr>
        <xdr:cNvPr id="22" name="Picture 2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437" y="26642785"/>
          <a:ext cx="276792" cy="274320"/>
        </a:xfrm>
        <a:prstGeom prst="rect">
          <a:avLst/>
        </a:prstGeom>
        <a:noFill/>
      </xdr:spPr>
    </xdr:pic>
    <xdr:clientData/>
  </xdr:twoCellAnchor>
  <xdr:twoCellAnchor editAs="oneCell">
    <xdr:from>
      <xdr:col>6</xdr:col>
      <xdr:colOff>262566</xdr:colOff>
      <xdr:row>70</xdr:row>
      <xdr:rowOff>68035</xdr:rowOff>
    </xdr:from>
    <xdr:to>
      <xdr:col>6</xdr:col>
      <xdr:colOff>536886</xdr:colOff>
      <xdr:row>70</xdr:row>
      <xdr:rowOff>342355</xdr:rowOff>
    </xdr:to>
    <xdr:pic macro="[0]!AssessmentTool_Picture25_Click">
      <xdr:nvPicPr>
        <xdr:cNvPr id="23" name="Picture 2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27037392"/>
          <a:ext cx="274320" cy="274320"/>
        </a:xfrm>
        <a:prstGeom prst="rect">
          <a:avLst/>
        </a:prstGeom>
        <a:noFill/>
      </xdr:spPr>
    </xdr:pic>
    <xdr:clientData/>
  </xdr:twoCellAnchor>
  <xdr:twoCellAnchor editAs="oneCell">
    <xdr:from>
      <xdr:col>6</xdr:col>
      <xdr:colOff>263478</xdr:colOff>
      <xdr:row>71</xdr:row>
      <xdr:rowOff>108856</xdr:rowOff>
    </xdr:from>
    <xdr:to>
      <xdr:col>6</xdr:col>
      <xdr:colOff>535974</xdr:colOff>
      <xdr:row>71</xdr:row>
      <xdr:rowOff>383176</xdr:rowOff>
    </xdr:to>
    <xdr:pic macro="[0]!AssessmentTool_Picture26_Click">
      <xdr:nvPicPr>
        <xdr:cNvPr id="24" name="Picture 2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585" y="27472820"/>
          <a:ext cx="272496" cy="274320"/>
        </a:xfrm>
        <a:prstGeom prst="rect">
          <a:avLst/>
        </a:prstGeom>
        <a:noFill/>
      </xdr:spPr>
    </xdr:pic>
    <xdr:clientData/>
  </xdr:twoCellAnchor>
  <xdr:twoCellAnchor editAs="oneCell">
    <xdr:from>
      <xdr:col>6</xdr:col>
      <xdr:colOff>263176</xdr:colOff>
      <xdr:row>72</xdr:row>
      <xdr:rowOff>95249</xdr:rowOff>
    </xdr:from>
    <xdr:to>
      <xdr:col>6</xdr:col>
      <xdr:colOff>536277</xdr:colOff>
      <xdr:row>72</xdr:row>
      <xdr:rowOff>369569</xdr:rowOff>
    </xdr:to>
    <xdr:pic macro="[0]!AssessmentTool_Picture27_Click">
      <xdr:nvPicPr>
        <xdr:cNvPr id="25" name="Picture 2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28044320"/>
          <a:ext cx="273101" cy="274320"/>
        </a:xfrm>
        <a:prstGeom prst="rect">
          <a:avLst/>
        </a:prstGeom>
        <a:noFill/>
      </xdr:spPr>
    </xdr:pic>
    <xdr:clientData/>
  </xdr:twoCellAnchor>
  <xdr:twoCellAnchor editAs="oneCell">
    <xdr:from>
      <xdr:col>6</xdr:col>
      <xdr:colOff>260072</xdr:colOff>
      <xdr:row>74</xdr:row>
      <xdr:rowOff>68035</xdr:rowOff>
    </xdr:from>
    <xdr:to>
      <xdr:col>6</xdr:col>
      <xdr:colOff>539380</xdr:colOff>
      <xdr:row>74</xdr:row>
      <xdr:rowOff>342355</xdr:rowOff>
    </xdr:to>
    <xdr:pic macro="[0]!Picture29_Click">
      <xdr:nvPicPr>
        <xdr:cNvPr id="27" name="Picture 2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8179" y="28874356"/>
          <a:ext cx="279308" cy="274320"/>
        </a:xfrm>
        <a:prstGeom prst="rect">
          <a:avLst/>
        </a:prstGeom>
        <a:noFill/>
      </xdr:spPr>
    </xdr:pic>
    <xdr:clientData/>
  </xdr:twoCellAnchor>
  <xdr:twoCellAnchor editAs="oneCell">
    <xdr:from>
      <xdr:col>6</xdr:col>
      <xdr:colOff>261018</xdr:colOff>
      <xdr:row>75</xdr:row>
      <xdr:rowOff>68035</xdr:rowOff>
    </xdr:from>
    <xdr:to>
      <xdr:col>6</xdr:col>
      <xdr:colOff>538434</xdr:colOff>
      <xdr:row>75</xdr:row>
      <xdr:rowOff>342355</xdr:rowOff>
    </xdr:to>
    <xdr:pic macro="[0]!AssessmentTool_Picture30_Click">
      <xdr:nvPicPr>
        <xdr:cNvPr id="28" name="Picture 3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125" y="29241749"/>
          <a:ext cx="277416" cy="274320"/>
        </a:xfrm>
        <a:prstGeom prst="rect">
          <a:avLst/>
        </a:prstGeom>
        <a:noFill/>
      </xdr:spPr>
    </xdr:pic>
    <xdr:clientData/>
  </xdr:twoCellAnchor>
  <xdr:twoCellAnchor editAs="oneCell">
    <xdr:from>
      <xdr:col>6</xdr:col>
      <xdr:colOff>262259</xdr:colOff>
      <xdr:row>76</xdr:row>
      <xdr:rowOff>68035</xdr:rowOff>
    </xdr:from>
    <xdr:to>
      <xdr:col>6</xdr:col>
      <xdr:colOff>537193</xdr:colOff>
      <xdr:row>76</xdr:row>
      <xdr:rowOff>331470</xdr:rowOff>
    </xdr:to>
    <xdr:pic macro="[0]!AssessmentTool_Picture31_Click">
      <xdr:nvPicPr>
        <xdr:cNvPr id="29" name="Picture 3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29595535"/>
          <a:ext cx="274934" cy="274320"/>
        </a:xfrm>
        <a:prstGeom prst="rect">
          <a:avLst/>
        </a:prstGeom>
        <a:noFill/>
      </xdr:spPr>
    </xdr:pic>
    <xdr:clientData/>
  </xdr:twoCellAnchor>
  <xdr:twoCellAnchor editAs="oneCell">
    <xdr:from>
      <xdr:col>6</xdr:col>
      <xdr:colOff>263176</xdr:colOff>
      <xdr:row>77</xdr:row>
      <xdr:rowOff>68035</xdr:rowOff>
    </xdr:from>
    <xdr:to>
      <xdr:col>6</xdr:col>
      <xdr:colOff>536277</xdr:colOff>
      <xdr:row>77</xdr:row>
      <xdr:rowOff>342355</xdr:rowOff>
    </xdr:to>
    <xdr:pic macro="[0]!AssessmentTool_Picture32_Click">
      <xdr:nvPicPr>
        <xdr:cNvPr id="30" name="Picture 3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29922106"/>
          <a:ext cx="273101" cy="274320"/>
        </a:xfrm>
        <a:prstGeom prst="rect">
          <a:avLst/>
        </a:prstGeom>
        <a:noFill/>
      </xdr:spPr>
    </xdr:pic>
    <xdr:clientData/>
  </xdr:twoCellAnchor>
  <xdr:twoCellAnchor editAs="oneCell">
    <xdr:from>
      <xdr:col>6</xdr:col>
      <xdr:colOff>261951</xdr:colOff>
      <xdr:row>78</xdr:row>
      <xdr:rowOff>68035</xdr:rowOff>
    </xdr:from>
    <xdr:to>
      <xdr:col>6</xdr:col>
      <xdr:colOff>537501</xdr:colOff>
      <xdr:row>78</xdr:row>
      <xdr:rowOff>342355</xdr:rowOff>
    </xdr:to>
    <xdr:pic macro="[0]!Picture33_Click">
      <xdr:nvPicPr>
        <xdr:cNvPr id="1057" name="Picture 3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30343928"/>
          <a:ext cx="275550" cy="274320"/>
        </a:xfrm>
        <a:prstGeom prst="rect">
          <a:avLst/>
        </a:prstGeom>
        <a:noFill/>
      </xdr:spPr>
    </xdr:pic>
    <xdr:clientData/>
  </xdr:twoCellAnchor>
  <xdr:twoCellAnchor editAs="oneCell">
    <xdr:from>
      <xdr:col>6</xdr:col>
      <xdr:colOff>261951</xdr:colOff>
      <xdr:row>80</xdr:row>
      <xdr:rowOff>81642</xdr:rowOff>
    </xdr:from>
    <xdr:to>
      <xdr:col>6</xdr:col>
      <xdr:colOff>537501</xdr:colOff>
      <xdr:row>80</xdr:row>
      <xdr:rowOff>355962</xdr:rowOff>
    </xdr:to>
    <xdr:pic macro="[0]!Picture34_Click">
      <xdr:nvPicPr>
        <xdr:cNvPr id="1058" name="Picture 3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30997071"/>
          <a:ext cx="275550" cy="274320"/>
        </a:xfrm>
        <a:prstGeom prst="rect">
          <a:avLst/>
        </a:prstGeom>
        <a:noFill/>
      </xdr:spPr>
    </xdr:pic>
    <xdr:clientData/>
  </xdr:twoCellAnchor>
  <xdr:twoCellAnchor editAs="oneCell">
    <xdr:from>
      <xdr:col>6</xdr:col>
      <xdr:colOff>262259</xdr:colOff>
      <xdr:row>81</xdr:row>
      <xdr:rowOff>81642</xdr:rowOff>
    </xdr:from>
    <xdr:to>
      <xdr:col>6</xdr:col>
      <xdr:colOff>537193</xdr:colOff>
      <xdr:row>81</xdr:row>
      <xdr:rowOff>355962</xdr:rowOff>
    </xdr:to>
    <xdr:pic macro="[0]!Picture35_Click">
      <xdr:nvPicPr>
        <xdr:cNvPr id="1059" name="Picture 3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31432499"/>
          <a:ext cx="274934" cy="274320"/>
        </a:xfrm>
        <a:prstGeom prst="rect">
          <a:avLst/>
        </a:prstGeom>
        <a:noFill/>
      </xdr:spPr>
    </xdr:pic>
    <xdr:clientData/>
  </xdr:twoCellAnchor>
  <xdr:twoCellAnchor editAs="oneCell">
    <xdr:from>
      <xdr:col>6</xdr:col>
      <xdr:colOff>262566</xdr:colOff>
      <xdr:row>83</xdr:row>
      <xdr:rowOff>81642</xdr:rowOff>
    </xdr:from>
    <xdr:to>
      <xdr:col>6</xdr:col>
      <xdr:colOff>536886</xdr:colOff>
      <xdr:row>83</xdr:row>
      <xdr:rowOff>355962</xdr:rowOff>
    </xdr:to>
    <xdr:pic macro="[0]!Picture36_Click">
      <xdr:nvPicPr>
        <xdr:cNvPr id="1060" name="Picture 3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1935963"/>
          <a:ext cx="274320" cy="274320"/>
        </a:xfrm>
        <a:prstGeom prst="rect">
          <a:avLst/>
        </a:prstGeom>
        <a:noFill/>
      </xdr:spPr>
    </xdr:pic>
    <xdr:clientData/>
  </xdr:twoCellAnchor>
  <xdr:twoCellAnchor editAs="oneCell">
    <xdr:from>
      <xdr:col>6</xdr:col>
      <xdr:colOff>261951</xdr:colOff>
      <xdr:row>84</xdr:row>
      <xdr:rowOff>81642</xdr:rowOff>
    </xdr:from>
    <xdr:to>
      <xdr:col>6</xdr:col>
      <xdr:colOff>537501</xdr:colOff>
      <xdr:row>84</xdr:row>
      <xdr:rowOff>355962</xdr:rowOff>
    </xdr:to>
    <xdr:pic macro="[0]!Picture37_Click">
      <xdr:nvPicPr>
        <xdr:cNvPr id="1061" name="Picture 3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32330571"/>
          <a:ext cx="275550" cy="274320"/>
        </a:xfrm>
        <a:prstGeom prst="rect">
          <a:avLst/>
        </a:prstGeom>
        <a:noFill/>
      </xdr:spPr>
    </xdr:pic>
    <xdr:clientData/>
  </xdr:twoCellAnchor>
  <xdr:twoCellAnchor editAs="oneCell">
    <xdr:from>
      <xdr:col>6</xdr:col>
      <xdr:colOff>262566</xdr:colOff>
      <xdr:row>85</xdr:row>
      <xdr:rowOff>81642</xdr:rowOff>
    </xdr:from>
    <xdr:to>
      <xdr:col>6</xdr:col>
      <xdr:colOff>536886</xdr:colOff>
      <xdr:row>85</xdr:row>
      <xdr:rowOff>355962</xdr:rowOff>
    </xdr:to>
    <xdr:pic macro="[0]!Picture38_Click">
      <xdr:nvPicPr>
        <xdr:cNvPr id="1062" name="Picture 3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2765999"/>
          <a:ext cx="274320" cy="274320"/>
        </a:xfrm>
        <a:prstGeom prst="rect">
          <a:avLst/>
        </a:prstGeom>
        <a:noFill/>
      </xdr:spPr>
    </xdr:pic>
    <xdr:clientData/>
  </xdr:twoCellAnchor>
  <xdr:twoCellAnchor editAs="oneCell">
    <xdr:from>
      <xdr:col>6</xdr:col>
      <xdr:colOff>261951</xdr:colOff>
      <xdr:row>86</xdr:row>
      <xdr:rowOff>95249</xdr:rowOff>
    </xdr:from>
    <xdr:to>
      <xdr:col>6</xdr:col>
      <xdr:colOff>537501</xdr:colOff>
      <xdr:row>86</xdr:row>
      <xdr:rowOff>369569</xdr:rowOff>
    </xdr:to>
    <xdr:pic macro="[0]!Picture39_Click">
      <xdr:nvPicPr>
        <xdr:cNvPr id="1063" name="Picture 3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33228642"/>
          <a:ext cx="275550" cy="274320"/>
        </a:xfrm>
        <a:prstGeom prst="rect">
          <a:avLst/>
        </a:prstGeom>
        <a:noFill/>
      </xdr:spPr>
    </xdr:pic>
    <xdr:clientData/>
  </xdr:twoCellAnchor>
  <xdr:twoCellAnchor editAs="oneCell">
    <xdr:from>
      <xdr:col>6</xdr:col>
      <xdr:colOff>263176</xdr:colOff>
      <xdr:row>87</xdr:row>
      <xdr:rowOff>95249</xdr:rowOff>
    </xdr:from>
    <xdr:to>
      <xdr:col>6</xdr:col>
      <xdr:colOff>536277</xdr:colOff>
      <xdr:row>87</xdr:row>
      <xdr:rowOff>369569</xdr:rowOff>
    </xdr:to>
    <xdr:pic macro="[0]!Picture40_Click">
      <xdr:nvPicPr>
        <xdr:cNvPr id="1064" name="Picture 4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33664070"/>
          <a:ext cx="273101" cy="274320"/>
        </a:xfrm>
        <a:prstGeom prst="rect">
          <a:avLst/>
        </a:prstGeom>
        <a:noFill/>
      </xdr:spPr>
    </xdr:pic>
    <xdr:clientData/>
  </xdr:twoCellAnchor>
  <xdr:twoCellAnchor editAs="oneCell">
    <xdr:from>
      <xdr:col>6</xdr:col>
      <xdr:colOff>262566</xdr:colOff>
      <xdr:row>88</xdr:row>
      <xdr:rowOff>95249</xdr:rowOff>
    </xdr:from>
    <xdr:to>
      <xdr:col>6</xdr:col>
      <xdr:colOff>536886</xdr:colOff>
      <xdr:row>88</xdr:row>
      <xdr:rowOff>369569</xdr:rowOff>
    </xdr:to>
    <xdr:pic macro="[0]!Picture41_Click">
      <xdr:nvPicPr>
        <xdr:cNvPr id="1065" name="Picture 4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4181142"/>
          <a:ext cx="274320" cy="274320"/>
        </a:xfrm>
        <a:prstGeom prst="rect">
          <a:avLst/>
        </a:prstGeom>
        <a:noFill/>
      </xdr:spPr>
    </xdr:pic>
    <xdr:clientData/>
  </xdr:twoCellAnchor>
  <xdr:twoCellAnchor editAs="oneCell">
    <xdr:from>
      <xdr:col>6</xdr:col>
      <xdr:colOff>262566</xdr:colOff>
      <xdr:row>89</xdr:row>
      <xdr:rowOff>95249</xdr:rowOff>
    </xdr:from>
    <xdr:to>
      <xdr:col>6</xdr:col>
      <xdr:colOff>536886</xdr:colOff>
      <xdr:row>89</xdr:row>
      <xdr:rowOff>369569</xdr:rowOff>
    </xdr:to>
    <xdr:pic macro="[0]!Picture42_Click">
      <xdr:nvPicPr>
        <xdr:cNvPr id="1066" name="Picture 4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5024785"/>
          <a:ext cx="274320" cy="274320"/>
        </a:xfrm>
        <a:prstGeom prst="rect">
          <a:avLst/>
        </a:prstGeom>
        <a:noFill/>
      </xdr:spPr>
    </xdr:pic>
    <xdr:clientData/>
  </xdr:twoCellAnchor>
  <xdr:twoCellAnchor editAs="oneCell">
    <xdr:from>
      <xdr:col>6</xdr:col>
      <xdr:colOff>262566</xdr:colOff>
      <xdr:row>90</xdr:row>
      <xdr:rowOff>95249</xdr:rowOff>
    </xdr:from>
    <xdr:to>
      <xdr:col>6</xdr:col>
      <xdr:colOff>536886</xdr:colOff>
      <xdr:row>90</xdr:row>
      <xdr:rowOff>369569</xdr:rowOff>
    </xdr:to>
    <xdr:pic macro="[0]!Picture43_Click">
      <xdr:nvPicPr>
        <xdr:cNvPr id="1067" name="Picture 4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5569070"/>
          <a:ext cx="274320" cy="274320"/>
        </a:xfrm>
        <a:prstGeom prst="rect">
          <a:avLst/>
        </a:prstGeom>
        <a:noFill/>
      </xdr:spPr>
    </xdr:pic>
    <xdr:clientData/>
  </xdr:twoCellAnchor>
  <xdr:twoCellAnchor editAs="oneCell">
    <xdr:from>
      <xdr:col>6</xdr:col>
      <xdr:colOff>262566</xdr:colOff>
      <xdr:row>91</xdr:row>
      <xdr:rowOff>95249</xdr:rowOff>
    </xdr:from>
    <xdr:to>
      <xdr:col>6</xdr:col>
      <xdr:colOff>536886</xdr:colOff>
      <xdr:row>91</xdr:row>
      <xdr:rowOff>369569</xdr:rowOff>
    </xdr:to>
    <xdr:pic macro="[0]!Picture44_Click">
      <xdr:nvPicPr>
        <xdr:cNvPr id="1068" name="Picture 4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6208606"/>
          <a:ext cx="274320" cy="274320"/>
        </a:xfrm>
        <a:prstGeom prst="rect">
          <a:avLst/>
        </a:prstGeom>
        <a:noFill/>
      </xdr:spPr>
    </xdr:pic>
    <xdr:clientData/>
  </xdr:twoCellAnchor>
  <xdr:twoCellAnchor editAs="oneCell">
    <xdr:from>
      <xdr:col>6</xdr:col>
      <xdr:colOff>262871</xdr:colOff>
      <xdr:row>92</xdr:row>
      <xdr:rowOff>95249</xdr:rowOff>
    </xdr:from>
    <xdr:to>
      <xdr:col>6</xdr:col>
      <xdr:colOff>536581</xdr:colOff>
      <xdr:row>92</xdr:row>
      <xdr:rowOff>369569</xdr:rowOff>
    </xdr:to>
    <xdr:pic macro="[0]!Picture45_Click">
      <xdr:nvPicPr>
        <xdr:cNvPr id="1069" name="Picture 4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978" y="36943392"/>
          <a:ext cx="273710" cy="274320"/>
        </a:xfrm>
        <a:prstGeom prst="rect">
          <a:avLst/>
        </a:prstGeom>
        <a:noFill/>
      </xdr:spPr>
    </xdr:pic>
    <xdr:clientData/>
  </xdr:twoCellAnchor>
  <xdr:twoCellAnchor editAs="oneCell">
    <xdr:from>
      <xdr:col>6</xdr:col>
      <xdr:colOff>264080</xdr:colOff>
      <xdr:row>93</xdr:row>
      <xdr:rowOff>95249</xdr:rowOff>
    </xdr:from>
    <xdr:to>
      <xdr:col>6</xdr:col>
      <xdr:colOff>535372</xdr:colOff>
      <xdr:row>93</xdr:row>
      <xdr:rowOff>369569</xdr:rowOff>
    </xdr:to>
    <xdr:pic macro="[0]!Picture46_Click">
      <xdr:nvPicPr>
        <xdr:cNvPr id="1070" name="Picture 4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2187" y="37392428"/>
          <a:ext cx="271292" cy="274320"/>
        </a:xfrm>
        <a:prstGeom prst="rect">
          <a:avLst/>
        </a:prstGeom>
        <a:noFill/>
      </xdr:spPr>
    </xdr:pic>
    <xdr:clientData/>
  </xdr:twoCellAnchor>
  <xdr:twoCellAnchor editAs="oneCell">
    <xdr:from>
      <xdr:col>6</xdr:col>
      <xdr:colOff>263176</xdr:colOff>
      <xdr:row>94</xdr:row>
      <xdr:rowOff>95249</xdr:rowOff>
    </xdr:from>
    <xdr:to>
      <xdr:col>6</xdr:col>
      <xdr:colOff>536277</xdr:colOff>
      <xdr:row>94</xdr:row>
      <xdr:rowOff>369569</xdr:rowOff>
    </xdr:to>
    <xdr:pic macro="[0]!Picture47_Click">
      <xdr:nvPicPr>
        <xdr:cNvPr id="1071" name="Picture 4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37827856"/>
          <a:ext cx="273101" cy="274320"/>
        </a:xfrm>
        <a:prstGeom prst="rect">
          <a:avLst/>
        </a:prstGeom>
        <a:noFill/>
      </xdr:spPr>
    </xdr:pic>
    <xdr:clientData/>
  </xdr:twoCellAnchor>
  <xdr:twoCellAnchor editAs="oneCell">
    <xdr:from>
      <xdr:col>6</xdr:col>
      <xdr:colOff>261951</xdr:colOff>
      <xdr:row>95</xdr:row>
      <xdr:rowOff>81642</xdr:rowOff>
    </xdr:from>
    <xdr:to>
      <xdr:col>6</xdr:col>
      <xdr:colOff>537501</xdr:colOff>
      <xdr:row>95</xdr:row>
      <xdr:rowOff>355962</xdr:rowOff>
    </xdr:to>
    <xdr:pic macro="[0]!Picture48_Click">
      <xdr:nvPicPr>
        <xdr:cNvPr id="1072" name="Picture 4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058" y="37855071"/>
          <a:ext cx="275550" cy="274320"/>
        </a:xfrm>
        <a:prstGeom prst="rect">
          <a:avLst/>
        </a:prstGeom>
        <a:noFill/>
      </xdr:spPr>
    </xdr:pic>
    <xdr:clientData/>
  </xdr:twoCellAnchor>
  <xdr:twoCellAnchor editAs="oneCell">
    <xdr:from>
      <xdr:col>6</xdr:col>
      <xdr:colOff>262871</xdr:colOff>
      <xdr:row>96</xdr:row>
      <xdr:rowOff>81642</xdr:rowOff>
    </xdr:from>
    <xdr:to>
      <xdr:col>6</xdr:col>
      <xdr:colOff>536581</xdr:colOff>
      <xdr:row>96</xdr:row>
      <xdr:rowOff>355962</xdr:rowOff>
    </xdr:to>
    <xdr:pic macro="[0]!Picture50_Click">
      <xdr:nvPicPr>
        <xdr:cNvPr id="1074" name="Picture 5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978" y="38290499"/>
          <a:ext cx="273710" cy="274320"/>
        </a:xfrm>
        <a:prstGeom prst="rect">
          <a:avLst/>
        </a:prstGeom>
        <a:noFill/>
      </xdr:spPr>
    </xdr:pic>
    <xdr:clientData/>
  </xdr:twoCellAnchor>
  <xdr:twoCellAnchor editAs="oneCell">
    <xdr:from>
      <xdr:col>6</xdr:col>
      <xdr:colOff>263478</xdr:colOff>
      <xdr:row>97</xdr:row>
      <xdr:rowOff>81642</xdr:rowOff>
    </xdr:from>
    <xdr:to>
      <xdr:col>6</xdr:col>
      <xdr:colOff>535974</xdr:colOff>
      <xdr:row>97</xdr:row>
      <xdr:rowOff>355962</xdr:rowOff>
    </xdr:to>
    <xdr:pic macro="[0]!Picture51_Click">
      <xdr:nvPicPr>
        <xdr:cNvPr id="1075" name="Picture 5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585" y="38739535"/>
          <a:ext cx="272496" cy="274320"/>
        </a:xfrm>
        <a:prstGeom prst="rect">
          <a:avLst/>
        </a:prstGeom>
        <a:noFill/>
      </xdr:spPr>
    </xdr:pic>
    <xdr:clientData/>
  </xdr:twoCellAnchor>
  <xdr:twoCellAnchor editAs="oneCell">
    <xdr:from>
      <xdr:col>6</xdr:col>
      <xdr:colOff>263780</xdr:colOff>
      <xdr:row>99</xdr:row>
      <xdr:rowOff>81642</xdr:rowOff>
    </xdr:from>
    <xdr:to>
      <xdr:col>6</xdr:col>
      <xdr:colOff>535673</xdr:colOff>
      <xdr:row>99</xdr:row>
      <xdr:rowOff>355962</xdr:rowOff>
    </xdr:to>
    <xdr:pic macro="[0]!Picture52_Click">
      <xdr:nvPicPr>
        <xdr:cNvPr id="1076" name="Picture 5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887" y="39433499"/>
          <a:ext cx="271893" cy="274320"/>
        </a:xfrm>
        <a:prstGeom prst="rect">
          <a:avLst/>
        </a:prstGeom>
        <a:noFill/>
      </xdr:spPr>
    </xdr:pic>
    <xdr:clientData/>
  </xdr:twoCellAnchor>
  <xdr:twoCellAnchor editAs="oneCell">
    <xdr:from>
      <xdr:col>6</xdr:col>
      <xdr:colOff>262566</xdr:colOff>
      <xdr:row>101</xdr:row>
      <xdr:rowOff>81642</xdr:rowOff>
    </xdr:from>
    <xdr:to>
      <xdr:col>6</xdr:col>
      <xdr:colOff>536886</xdr:colOff>
      <xdr:row>101</xdr:row>
      <xdr:rowOff>355962</xdr:rowOff>
    </xdr:to>
    <xdr:pic macro="[0]!Picture53_Click">
      <xdr:nvPicPr>
        <xdr:cNvPr id="1077" name="Picture 5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9800892"/>
          <a:ext cx="274320" cy="274320"/>
        </a:xfrm>
        <a:prstGeom prst="rect">
          <a:avLst/>
        </a:prstGeom>
        <a:noFill/>
      </xdr:spPr>
    </xdr:pic>
    <xdr:clientData/>
  </xdr:twoCellAnchor>
  <xdr:twoCellAnchor editAs="oneCell">
    <xdr:from>
      <xdr:col>6</xdr:col>
      <xdr:colOff>262566</xdr:colOff>
      <xdr:row>102</xdr:row>
      <xdr:rowOff>81642</xdr:rowOff>
    </xdr:from>
    <xdr:to>
      <xdr:col>6</xdr:col>
      <xdr:colOff>536886</xdr:colOff>
      <xdr:row>102</xdr:row>
      <xdr:rowOff>355962</xdr:rowOff>
    </xdr:to>
    <xdr:pic macro="[0]!Picture54_Click">
      <xdr:nvPicPr>
        <xdr:cNvPr id="1078" name="Picture 5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0304356"/>
          <a:ext cx="274320" cy="274320"/>
        </a:xfrm>
        <a:prstGeom prst="rect">
          <a:avLst/>
        </a:prstGeom>
        <a:noFill/>
      </xdr:spPr>
    </xdr:pic>
    <xdr:clientData/>
  </xdr:twoCellAnchor>
  <xdr:twoCellAnchor editAs="oneCell">
    <xdr:from>
      <xdr:col>6</xdr:col>
      <xdr:colOff>262566</xdr:colOff>
      <xdr:row>103</xdr:row>
      <xdr:rowOff>68035</xdr:rowOff>
    </xdr:from>
    <xdr:to>
      <xdr:col>6</xdr:col>
      <xdr:colOff>536886</xdr:colOff>
      <xdr:row>103</xdr:row>
      <xdr:rowOff>342355</xdr:rowOff>
    </xdr:to>
    <xdr:pic macro="[0]!Picture55_Click">
      <xdr:nvPicPr>
        <xdr:cNvPr id="1079" name="Picture 5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1079964"/>
          <a:ext cx="274320" cy="274320"/>
        </a:xfrm>
        <a:prstGeom prst="rect">
          <a:avLst/>
        </a:prstGeom>
        <a:noFill/>
      </xdr:spPr>
    </xdr:pic>
    <xdr:clientData/>
  </xdr:twoCellAnchor>
  <xdr:twoCellAnchor editAs="oneCell">
    <xdr:from>
      <xdr:col>6</xdr:col>
      <xdr:colOff>262566</xdr:colOff>
      <xdr:row>104</xdr:row>
      <xdr:rowOff>68035</xdr:rowOff>
    </xdr:from>
    <xdr:to>
      <xdr:col>6</xdr:col>
      <xdr:colOff>536886</xdr:colOff>
      <xdr:row>104</xdr:row>
      <xdr:rowOff>342355</xdr:rowOff>
    </xdr:to>
    <xdr:pic macro="[0]!Picture56_Click">
      <xdr:nvPicPr>
        <xdr:cNvPr id="1080" name="Picture 5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1665071"/>
          <a:ext cx="274320" cy="274320"/>
        </a:xfrm>
        <a:prstGeom prst="rect">
          <a:avLst/>
        </a:prstGeom>
        <a:noFill/>
      </xdr:spPr>
    </xdr:pic>
    <xdr:clientData/>
  </xdr:twoCellAnchor>
  <xdr:twoCellAnchor editAs="oneCell">
    <xdr:from>
      <xdr:col>6</xdr:col>
      <xdr:colOff>262566</xdr:colOff>
      <xdr:row>105</xdr:row>
      <xdr:rowOff>68035</xdr:rowOff>
    </xdr:from>
    <xdr:to>
      <xdr:col>6</xdr:col>
      <xdr:colOff>536886</xdr:colOff>
      <xdr:row>105</xdr:row>
      <xdr:rowOff>342355</xdr:rowOff>
    </xdr:to>
    <xdr:pic macro="[0]!Picture57_Click">
      <xdr:nvPicPr>
        <xdr:cNvPr id="1081" name="Picture 5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2086892"/>
          <a:ext cx="274320" cy="274320"/>
        </a:xfrm>
        <a:prstGeom prst="rect">
          <a:avLst/>
        </a:prstGeom>
        <a:noFill/>
      </xdr:spPr>
    </xdr:pic>
    <xdr:clientData/>
  </xdr:twoCellAnchor>
  <xdr:twoCellAnchor editAs="oneCell">
    <xdr:from>
      <xdr:col>6</xdr:col>
      <xdr:colOff>262566</xdr:colOff>
      <xdr:row>106</xdr:row>
      <xdr:rowOff>68035</xdr:rowOff>
    </xdr:from>
    <xdr:to>
      <xdr:col>6</xdr:col>
      <xdr:colOff>536886</xdr:colOff>
      <xdr:row>106</xdr:row>
      <xdr:rowOff>342355</xdr:rowOff>
    </xdr:to>
    <xdr:pic macro="[0]!Picture58_Click">
      <xdr:nvPicPr>
        <xdr:cNvPr id="1082" name="Picture 5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2848892"/>
          <a:ext cx="274320" cy="274320"/>
        </a:xfrm>
        <a:prstGeom prst="rect">
          <a:avLst/>
        </a:prstGeom>
        <a:noFill/>
      </xdr:spPr>
    </xdr:pic>
    <xdr:clientData/>
  </xdr:twoCellAnchor>
  <xdr:twoCellAnchor editAs="oneCell">
    <xdr:from>
      <xdr:col>6</xdr:col>
      <xdr:colOff>262566</xdr:colOff>
      <xdr:row>107</xdr:row>
      <xdr:rowOff>68035</xdr:rowOff>
    </xdr:from>
    <xdr:to>
      <xdr:col>6</xdr:col>
      <xdr:colOff>536886</xdr:colOff>
      <xdr:row>107</xdr:row>
      <xdr:rowOff>342355</xdr:rowOff>
    </xdr:to>
    <xdr:pic macro="[0]!Picture59_Click">
      <xdr:nvPicPr>
        <xdr:cNvPr id="1083" name="Picture 5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3502035"/>
          <a:ext cx="274320" cy="274320"/>
        </a:xfrm>
        <a:prstGeom prst="rect">
          <a:avLst/>
        </a:prstGeom>
        <a:noFill/>
      </xdr:spPr>
    </xdr:pic>
    <xdr:clientData/>
  </xdr:twoCellAnchor>
  <xdr:twoCellAnchor editAs="oneCell">
    <xdr:from>
      <xdr:col>6</xdr:col>
      <xdr:colOff>261641</xdr:colOff>
      <xdr:row>108</xdr:row>
      <xdr:rowOff>68035</xdr:rowOff>
    </xdr:from>
    <xdr:to>
      <xdr:col>6</xdr:col>
      <xdr:colOff>537811</xdr:colOff>
      <xdr:row>108</xdr:row>
      <xdr:rowOff>342355</xdr:rowOff>
    </xdr:to>
    <xdr:pic macro="[0]!Picture60_Click">
      <xdr:nvPicPr>
        <xdr:cNvPr id="1084" name="Picture 6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19748" y="44209606"/>
          <a:ext cx="276170" cy="274320"/>
        </a:xfrm>
        <a:prstGeom prst="rect">
          <a:avLst/>
        </a:prstGeom>
        <a:noFill/>
      </xdr:spPr>
    </xdr:pic>
    <xdr:clientData/>
  </xdr:twoCellAnchor>
  <xdr:twoCellAnchor editAs="oneCell">
    <xdr:from>
      <xdr:col>6</xdr:col>
      <xdr:colOff>262566</xdr:colOff>
      <xdr:row>109</xdr:row>
      <xdr:rowOff>68035</xdr:rowOff>
    </xdr:from>
    <xdr:to>
      <xdr:col>6</xdr:col>
      <xdr:colOff>536886</xdr:colOff>
      <xdr:row>109</xdr:row>
      <xdr:rowOff>342355</xdr:rowOff>
    </xdr:to>
    <xdr:pic macro="[0]!Picture61_Click">
      <xdr:nvPicPr>
        <xdr:cNvPr id="1085" name="Picture 6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4767499"/>
          <a:ext cx="274320" cy="274320"/>
        </a:xfrm>
        <a:prstGeom prst="rect">
          <a:avLst/>
        </a:prstGeom>
        <a:noFill/>
      </xdr:spPr>
    </xdr:pic>
    <xdr:clientData/>
  </xdr:twoCellAnchor>
  <xdr:twoCellAnchor editAs="oneCell">
    <xdr:from>
      <xdr:col>6</xdr:col>
      <xdr:colOff>262566</xdr:colOff>
      <xdr:row>110</xdr:row>
      <xdr:rowOff>95249</xdr:rowOff>
    </xdr:from>
    <xdr:to>
      <xdr:col>6</xdr:col>
      <xdr:colOff>536886</xdr:colOff>
      <xdr:row>110</xdr:row>
      <xdr:rowOff>369569</xdr:rowOff>
    </xdr:to>
    <xdr:pic macro="[0]!Picture62_Click">
      <xdr:nvPicPr>
        <xdr:cNvPr id="1086" name="Picture 6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4590606"/>
          <a:ext cx="274320" cy="274320"/>
        </a:xfrm>
        <a:prstGeom prst="rect">
          <a:avLst/>
        </a:prstGeom>
        <a:noFill/>
      </xdr:spPr>
    </xdr:pic>
    <xdr:clientData/>
  </xdr:twoCellAnchor>
  <xdr:twoCellAnchor editAs="oneCell">
    <xdr:from>
      <xdr:col>6</xdr:col>
      <xdr:colOff>262566</xdr:colOff>
      <xdr:row>111</xdr:row>
      <xdr:rowOff>95249</xdr:rowOff>
    </xdr:from>
    <xdr:to>
      <xdr:col>6</xdr:col>
      <xdr:colOff>536886</xdr:colOff>
      <xdr:row>111</xdr:row>
      <xdr:rowOff>369569</xdr:rowOff>
    </xdr:to>
    <xdr:pic macro="[0]!Picture63_Click">
      <xdr:nvPicPr>
        <xdr:cNvPr id="1087" name="Picture 6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5066856"/>
          <a:ext cx="274320" cy="274320"/>
        </a:xfrm>
        <a:prstGeom prst="rect">
          <a:avLst/>
        </a:prstGeom>
        <a:noFill/>
      </xdr:spPr>
    </xdr:pic>
    <xdr:clientData/>
  </xdr:twoCellAnchor>
  <xdr:twoCellAnchor editAs="oneCell">
    <xdr:from>
      <xdr:col>6</xdr:col>
      <xdr:colOff>262566</xdr:colOff>
      <xdr:row>112</xdr:row>
      <xdr:rowOff>95249</xdr:rowOff>
    </xdr:from>
    <xdr:to>
      <xdr:col>6</xdr:col>
      <xdr:colOff>536886</xdr:colOff>
      <xdr:row>112</xdr:row>
      <xdr:rowOff>369569</xdr:rowOff>
    </xdr:to>
    <xdr:pic macro="[0]!Picture64_Click">
      <xdr:nvPicPr>
        <xdr:cNvPr id="1088" name="Picture 6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5774428"/>
          <a:ext cx="274320" cy="274320"/>
        </a:xfrm>
        <a:prstGeom prst="rect">
          <a:avLst/>
        </a:prstGeom>
        <a:noFill/>
      </xdr:spPr>
    </xdr:pic>
    <xdr:clientData/>
  </xdr:twoCellAnchor>
  <xdr:twoCellAnchor editAs="oneCell">
    <xdr:from>
      <xdr:col>6</xdr:col>
      <xdr:colOff>262566</xdr:colOff>
      <xdr:row>113</xdr:row>
      <xdr:rowOff>95249</xdr:rowOff>
    </xdr:from>
    <xdr:to>
      <xdr:col>6</xdr:col>
      <xdr:colOff>536886</xdr:colOff>
      <xdr:row>113</xdr:row>
      <xdr:rowOff>369569</xdr:rowOff>
    </xdr:to>
    <xdr:pic macro="[0]!Picture65_Click">
      <xdr:nvPicPr>
        <xdr:cNvPr id="1089" name="Picture 6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6699713"/>
          <a:ext cx="274320" cy="274320"/>
        </a:xfrm>
        <a:prstGeom prst="rect">
          <a:avLst/>
        </a:prstGeom>
        <a:noFill/>
      </xdr:spPr>
    </xdr:pic>
    <xdr:clientData/>
  </xdr:twoCellAnchor>
  <xdr:twoCellAnchor editAs="oneCell">
    <xdr:from>
      <xdr:col>6</xdr:col>
      <xdr:colOff>262566</xdr:colOff>
      <xdr:row>114</xdr:row>
      <xdr:rowOff>149677</xdr:rowOff>
    </xdr:from>
    <xdr:to>
      <xdr:col>6</xdr:col>
      <xdr:colOff>536886</xdr:colOff>
      <xdr:row>114</xdr:row>
      <xdr:rowOff>423997</xdr:rowOff>
    </xdr:to>
    <xdr:pic macro="[0]!Picture66_Click">
      <xdr:nvPicPr>
        <xdr:cNvPr id="1090" name="Picture 6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6481998"/>
          <a:ext cx="274320" cy="274320"/>
        </a:xfrm>
        <a:prstGeom prst="rect">
          <a:avLst/>
        </a:prstGeom>
        <a:noFill/>
      </xdr:spPr>
    </xdr:pic>
    <xdr:clientData/>
  </xdr:twoCellAnchor>
  <xdr:twoCellAnchor editAs="oneCell">
    <xdr:from>
      <xdr:col>6</xdr:col>
      <xdr:colOff>262566</xdr:colOff>
      <xdr:row>115</xdr:row>
      <xdr:rowOff>149677</xdr:rowOff>
    </xdr:from>
    <xdr:to>
      <xdr:col>6</xdr:col>
      <xdr:colOff>536886</xdr:colOff>
      <xdr:row>115</xdr:row>
      <xdr:rowOff>423997</xdr:rowOff>
    </xdr:to>
    <xdr:pic macro="[0]!Picture67_Click">
      <xdr:nvPicPr>
        <xdr:cNvPr id="1091" name="Picture 6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6971856"/>
          <a:ext cx="274320" cy="274320"/>
        </a:xfrm>
        <a:prstGeom prst="rect">
          <a:avLst/>
        </a:prstGeom>
        <a:noFill/>
      </xdr:spPr>
    </xdr:pic>
    <xdr:clientData/>
  </xdr:twoCellAnchor>
  <xdr:twoCellAnchor editAs="oneCell">
    <xdr:from>
      <xdr:col>6</xdr:col>
      <xdr:colOff>263780</xdr:colOff>
      <xdr:row>117</xdr:row>
      <xdr:rowOff>68035</xdr:rowOff>
    </xdr:from>
    <xdr:to>
      <xdr:col>6</xdr:col>
      <xdr:colOff>535673</xdr:colOff>
      <xdr:row>117</xdr:row>
      <xdr:rowOff>342355</xdr:rowOff>
    </xdr:to>
    <xdr:pic macro="[0]!Picture68_Click">
      <xdr:nvPicPr>
        <xdr:cNvPr id="1092" name="Picture 6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887" y="47720249"/>
          <a:ext cx="271893" cy="274320"/>
        </a:xfrm>
        <a:prstGeom prst="rect">
          <a:avLst/>
        </a:prstGeom>
        <a:noFill/>
      </xdr:spPr>
    </xdr:pic>
    <xdr:clientData/>
  </xdr:twoCellAnchor>
  <xdr:twoCellAnchor editAs="oneCell">
    <xdr:from>
      <xdr:col>6</xdr:col>
      <xdr:colOff>263176</xdr:colOff>
      <xdr:row>118</xdr:row>
      <xdr:rowOff>68035</xdr:rowOff>
    </xdr:from>
    <xdr:to>
      <xdr:col>6</xdr:col>
      <xdr:colOff>536277</xdr:colOff>
      <xdr:row>118</xdr:row>
      <xdr:rowOff>342355</xdr:rowOff>
    </xdr:to>
    <xdr:pic macro="[0]!Picture69_Click">
      <xdr:nvPicPr>
        <xdr:cNvPr id="1093" name="Picture 69"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1283" y="48182892"/>
          <a:ext cx="273101" cy="274320"/>
        </a:xfrm>
        <a:prstGeom prst="rect">
          <a:avLst/>
        </a:prstGeom>
        <a:noFill/>
      </xdr:spPr>
    </xdr:pic>
    <xdr:clientData/>
  </xdr:twoCellAnchor>
  <xdr:twoCellAnchor editAs="oneCell">
    <xdr:from>
      <xdr:col>6</xdr:col>
      <xdr:colOff>262566</xdr:colOff>
      <xdr:row>120</xdr:row>
      <xdr:rowOff>163284</xdr:rowOff>
    </xdr:from>
    <xdr:to>
      <xdr:col>6</xdr:col>
      <xdr:colOff>536886</xdr:colOff>
      <xdr:row>120</xdr:row>
      <xdr:rowOff>437604</xdr:rowOff>
    </xdr:to>
    <xdr:pic macro="[0]!Picture70_Click">
      <xdr:nvPicPr>
        <xdr:cNvPr id="1094" name="Picture 70"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49121784"/>
          <a:ext cx="274320" cy="274320"/>
        </a:xfrm>
        <a:prstGeom prst="rect">
          <a:avLst/>
        </a:prstGeom>
        <a:noFill/>
      </xdr:spPr>
    </xdr:pic>
    <xdr:clientData/>
  </xdr:twoCellAnchor>
  <xdr:twoCellAnchor editAs="oneCell">
    <xdr:from>
      <xdr:col>6</xdr:col>
      <xdr:colOff>262566</xdr:colOff>
      <xdr:row>122</xdr:row>
      <xdr:rowOff>108856</xdr:rowOff>
    </xdr:from>
    <xdr:to>
      <xdr:col>6</xdr:col>
      <xdr:colOff>536886</xdr:colOff>
      <xdr:row>122</xdr:row>
      <xdr:rowOff>383176</xdr:rowOff>
    </xdr:to>
    <xdr:pic macro="[0]!Picture71_Click">
      <xdr:nvPicPr>
        <xdr:cNvPr id="1095" name="Picture 7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0128713"/>
          <a:ext cx="274320" cy="274320"/>
        </a:xfrm>
        <a:prstGeom prst="rect">
          <a:avLst/>
        </a:prstGeom>
        <a:noFill/>
      </xdr:spPr>
    </xdr:pic>
    <xdr:clientData/>
  </xdr:twoCellAnchor>
  <xdr:twoCellAnchor editAs="oneCell">
    <xdr:from>
      <xdr:col>6</xdr:col>
      <xdr:colOff>262566</xdr:colOff>
      <xdr:row>123</xdr:row>
      <xdr:rowOff>108856</xdr:rowOff>
    </xdr:from>
    <xdr:to>
      <xdr:col>6</xdr:col>
      <xdr:colOff>536886</xdr:colOff>
      <xdr:row>123</xdr:row>
      <xdr:rowOff>383176</xdr:rowOff>
    </xdr:to>
    <xdr:pic macro="[0]!Picture72_Click">
      <xdr:nvPicPr>
        <xdr:cNvPr id="1096" name="Picture 72"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0727427"/>
          <a:ext cx="274320" cy="274320"/>
        </a:xfrm>
        <a:prstGeom prst="rect">
          <a:avLst/>
        </a:prstGeom>
        <a:noFill/>
      </xdr:spPr>
    </xdr:pic>
    <xdr:clientData/>
  </xdr:twoCellAnchor>
  <xdr:twoCellAnchor editAs="oneCell">
    <xdr:from>
      <xdr:col>6</xdr:col>
      <xdr:colOff>262566</xdr:colOff>
      <xdr:row>124</xdr:row>
      <xdr:rowOff>108856</xdr:rowOff>
    </xdr:from>
    <xdr:to>
      <xdr:col>6</xdr:col>
      <xdr:colOff>536886</xdr:colOff>
      <xdr:row>124</xdr:row>
      <xdr:rowOff>383176</xdr:rowOff>
    </xdr:to>
    <xdr:pic macro="[0]!Picture73_Click">
      <xdr:nvPicPr>
        <xdr:cNvPr id="1097" name="Picture 73"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1162856"/>
          <a:ext cx="274320" cy="274320"/>
        </a:xfrm>
        <a:prstGeom prst="rect">
          <a:avLst/>
        </a:prstGeom>
        <a:noFill/>
      </xdr:spPr>
    </xdr:pic>
    <xdr:clientData/>
  </xdr:twoCellAnchor>
  <xdr:twoCellAnchor editAs="oneCell">
    <xdr:from>
      <xdr:col>6</xdr:col>
      <xdr:colOff>262566</xdr:colOff>
      <xdr:row>125</xdr:row>
      <xdr:rowOff>108856</xdr:rowOff>
    </xdr:from>
    <xdr:to>
      <xdr:col>6</xdr:col>
      <xdr:colOff>536886</xdr:colOff>
      <xdr:row>125</xdr:row>
      <xdr:rowOff>383176</xdr:rowOff>
    </xdr:to>
    <xdr:pic macro="[0]!Picture74_Click">
      <xdr:nvPicPr>
        <xdr:cNvPr id="1098" name="Picture 74"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1693535"/>
          <a:ext cx="274320" cy="274320"/>
        </a:xfrm>
        <a:prstGeom prst="rect">
          <a:avLst/>
        </a:prstGeom>
        <a:noFill/>
      </xdr:spPr>
    </xdr:pic>
    <xdr:clientData/>
  </xdr:twoCellAnchor>
  <xdr:twoCellAnchor editAs="oneCell">
    <xdr:from>
      <xdr:col>6</xdr:col>
      <xdr:colOff>262566</xdr:colOff>
      <xdr:row>126</xdr:row>
      <xdr:rowOff>108856</xdr:rowOff>
    </xdr:from>
    <xdr:to>
      <xdr:col>6</xdr:col>
      <xdr:colOff>536886</xdr:colOff>
      <xdr:row>126</xdr:row>
      <xdr:rowOff>383176</xdr:rowOff>
    </xdr:to>
    <xdr:pic macro="[0]!Picture75_Click">
      <xdr:nvPicPr>
        <xdr:cNvPr id="1099" name="Picture 75"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2128963"/>
          <a:ext cx="274320" cy="274320"/>
        </a:xfrm>
        <a:prstGeom prst="rect">
          <a:avLst/>
        </a:prstGeom>
        <a:noFill/>
      </xdr:spPr>
    </xdr:pic>
    <xdr:clientData/>
  </xdr:twoCellAnchor>
  <xdr:twoCellAnchor editAs="oneCell">
    <xdr:from>
      <xdr:col>6</xdr:col>
      <xdr:colOff>262566</xdr:colOff>
      <xdr:row>127</xdr:row>
      <xdr:rowOff>136070</xdr:rowOff>
    </xdr:from>
    <xdr:to>
      <xdr:col>6</xdr:col>
      <xdr:colOff>536886</xdr:colOff>
      <xdr:row>127</xdr:row>
      <xdr:rowOff>410390</xdr:rowOff>
    </xdr:to>
    <xdr:pic macro="[0]!Picture76_Click">
      <xdr:nvPicPr>
        <xdr:cNvPr id="1100" name="Picture 76"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2714070"/>
          <a:ext cx="274320" cy="274320"/>
        </a:xfrm>
        <a:prstGeom prst="rect">
          <a:avLst/>
        </a:prstGeom>
        <a:noFill/>
      </xdr:spPr>
    </xdr:pic>
    <xdr:clientData/>
  </xdr:twoCellAnchor>
  <xdr:twoCellAnchor editAs="oneCell">
    <xdr:from>
      <xdr:col>6</xdr:col>
      <xdr:colOff>262566</xdr:colOff>
      <xdr:row>128</xdr:row>
      <xdr:rowOff>136070</xdr:rowOff>
    </xdr:from>
    <xdr:to>
      <xdr:col>6</xdr:col>
      <xdr:colOff>536886</xdr:colOff>
      <xdr:row>128</xdr:row>
      <xdr:rowOff>410390</xdr:rowOff>
    </xdr:to>
    <xdr:pic macro="[0]!Picture77_Click">
      <xdr:nvPicPr>
        <xdr:cNvPr id="1101" name="Picture 77"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3448856"/>
          <a:ext cx="274320" cy="274320"/>
        </a:xfrm>
        <a:prstGeom prst="rect">
          <a:avLst/>
        </a:prstGeom>
        <a:noFill/>
      </xdr:spPr>
    </xdr:pic>
    <xdr:clientData/>
  </xdr:twoCellAnchor>
  <xdr:twoCellAnchor editAs="oneCell">
    <xdr:from>
      <xdr:col>6</xdr:col>
      <xdr:colOff>262566</xdr:colOff>
      <xdr:row>129</xdr:row>
      <xdr:rowOff>136070</xdr:rowOff>
    </xdr:from>
    <xdr:to>
      <xdr:col>6</xdr:col>
      <xdr:colOff>536886</xdr:colOff>
      <xdr:row>129</xdr:row>
      <xdr:rowOff>410390</xdr:rowOff>
    </xdr:to>
    <xdr:pic macro="[0]!Picture78_Click">
      <xdr:nvPicPr>
        <xdr:cNvPr id="1102" name="Picture 78"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53911499"/>
          <a:ext cx="274320" cy="274320"/>
        </a:xfrm>
        <a:prstGeom prst="rect">
          <a:avLst/>
        </a:prstGeom>
        <a:noFill/>
      </xdr:spPr>
    </xdr:pic>
    <xdr:clientData/>
  </xdr:twoCellAnchor>
  <xdr:twoCellAnchor editAs="oneCell">
    <xdr:from>
      <xdr:col>6</xdr:col>
      <xdr:colOff>262259</xdr:colOff>
      <xdr:row>17</xdr:row>
      <xdr:rowOff>208190</xdr:rowOff>
    </xdr:from>
    <xdr:to>
      <xdr:col>6</xdr:col>
      <xdr:colOff>537193</xdr:colOff>
      <xdr:row>17</xdr:row>
      <xdr:rowOff>482510</xdr:rowOff>
    </xdr:to>
    <xdr:pic macro="[0]!Picture9_Click">
      <xdr:nvPicPr>
        <xdr:cNvPr id="105" name="Picture 9" descr="C:\Users\MI\AppData\Local\Microsoft\Windows\Temporary Internet Files\Content.IE5\BUKTTUJM\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4317547"/>
          <a:ext cx="274934" cy="274320"/>
        </a:xfrm>
        <a:prstGeom prst="rect">
          <a:avLst/>
        </a:prstGeom>
        <a:noFill/>
      </xdr:spPr>
    </xdr:pic>
    <xdr:clientData/>
  </xdr:twoCellAnchor>
  <xdr:twoCellAnchor editAs="oneCell">
    <xdr:from>
      <xdr:col>6</xdr:col>
      <xdr:colOff>262259</xdr:colOff>
      <xdr:row>15</xdr:row>
      <xdr:rowOff>54428</xdr:rowOff>
    </xdr:from>
    <xdr:to>
      <xdr:col>6</xdr:col>
      <xdr:colOff>537193</xdr:colOff>
      <xdr:row>15</xdr:row>
      <xdr:rowOff>328748</xdr:rowOff>
    </xdr:to>
    <xdr:pic macro="[0]!Picture8_Click">
      <xdr:nvPicPr>
        <xdr:cNvPr id="106" name="Picture 8" descr="C:\Users\MI\AppData\Local\Microsoft\Windows\Temporary Internet Files\Content.IE5\BUKTTUJM\MM900336396[1].gif"/>
        <xdr:cNvPicPr>
          <a:picLocks noChangeAspect="1" noChangeArrowheads="1"/>
        </xdr:cNvPicPr>
      </xdr:nvPicPr>
      <xdr:blipFill>
        <a:blip xmlns:r="http://schemas.openxmlformats.org/officeDocument/2006/relationships" r:embed="rId1"/>
        <a:srcRect/>
        <a:stretch>
          <a:fillRect/>
        </a:stretch>
      </xdr:blipFill>
      <xdr:spPr bwMode="auto">
        <a:xfrm>
          <a:off x="13420366" y="3170464"/>
          <a:ext cx="274934" cy="274320"/>
        </a:xfrm>
        <a:prstGeom prst="rect">
          <a:avLst/>
        </a:prstGeom>
        <a:noFill/>
      </xdr:spPr>
    </xdr:pic>
    <xdr:clientData/>
  </xdr:twoCellAnchor>
  <xdr:twoCellAnchor editAs="oneCell">
    <xdr:from>
      <xdr:col>6</xdr:col>
      <xdr:colOff>262566</xdr:colOff>
      <xdr:row>16</xdr:row>
      <xdr:rowOff>145595</xdr:rowOff>
    </xdr:from>
    <xdr:to>
      <xdr:col>6</xdr:col>
      <xdr:colOff>536886</xdr:colOff>
      <xdr:row>16</xdr:row>
      <xdr:rowOff>419915</xdr:rowOff>
    </xdr:to>
    <xdr:pic macro="[0]!Picture10_Click">
      <xdr:nvPicPr>
        <xdr:cNvPr id="107" name="Picture 10" descr="C:\Users\MI\AppData\Local\Microsoft\Windows\Temporary Internet Files\Content.IE5\BUKTTUJM\MM900336396[1].gif"/>
        <xdr:cNvPicPr>
          <a:picLocks noChangeAspect="1" noChangeArrowheads="1"/>
        </xdr:cNvPicPr>
      </xdr:nvPicPr>
      <xdr:blipFill>
        <a:blip xmlns:r="http://schemas.openxmlformats.org/officeDocument/2006/relationships" r:embed="rId1"/>
        <a:srcRect/>
        <a:stretch>
          <a:fillRect/>
        </a:stretch>
      </xdr:blipFill>
      <xdr:spPr bwMode="auto">
        <a:xfrm>
          <a:off x="13420673" y="3629024"/>
          <a:ext cx="274320" cy="274320"/>
        </a:xfrm>
        <a:prstGeom prst="rect">
          <a:avLst/>
        </a:prstGeom>
        <a:noFill/>
      </xdr:spPr>
    </xdr:pic>
    <xdr:clientData/>
  </xdr:twoCellAnchor>
  <xdr:twoCellAnchor editAs="oneCell">
    <xdr:from>
      <xdr:col>6</xdr:col>
      <xdr:colOff>262566</xdr:colOff>
      <xdr:row>19</xdr:row>
      <xdr:rowOff>163286</xdr:rowOff>
    </xdr:from>
    <xdr:to>
      <xdr:col>6</xdr:col>
      <xdr:colOff>536886</xdr:colOff>
      <xdr:row>19</xdr:row>
      <xdr:rowOff>437606</xdr:rowOff>
    </xdr:to>
    <xdr:pic macro="[0]!Picture12_Click">
      <xdr:nvPicPr>
        <xdr:cNvPr id="108" name="Picture 12"/>
        <xdr:cNvPicPr>
          <a:picLocks noChangeAspect="1" noChangeArrowheads="1"/>
        </xdr:cNvPicPr>
      </xdr:nvPicPr>
      <xdr:blipFill>
        <a:blip xmlns:r="http://schemas.openxmlformats.org/officeDocument/2006/relationships" r:embed="rId1"/>
        <a:srcRect/>
        <a:stretch>
          <a:fillRect/>
        </a:stretch>
      </xdr:blipFill>
      <xdr:spPr bwMode="auto">
        <a:xfrm>
          <a:off x="13420673" y="5306786"/>
          <a:ext cx="274320" cy="274320"/>
        </a:xfrm>
        <a:prstGeom prst="rect">
          <a:avLst/>
        </a:prstGeom>
        <a:noFill/>
      </xdr:spPr>
    </xdr:pic>
    <xdr:clientData/>
  </xdr:twoCellAnchor>
  <xdr:twoCellAnchor>
    <xdr:from>
      <xdr:col>6</xdr:col>
      <xdr:colOff>262566</xdr:colOff>
      <xdr:row>20</xdr:row>
      <xdr:rowOff>163287</xdr:rowOff>
    </xdr:from>
    <xdr:to>
      <xdr:col>6</xdr:col>
      <xdr:colOff>536886</xdr:colOff>
      <xdr:row>20</xdr:row>
      <xdr:rowOff>418557</xdr:rowOff>
    </xdr:to>
    <xdr:pic macro="[0]!Picture5_Click">
      <xdr:nvPicPr>
        <xdr:cNvPr id="109" name="Picture 5"/>
        <xdr:cNvPicPr>
          <a:picLocks noChangeAspect="1" noChangeArrowheads="1"/>
        </xdr:cNvPicPr>
      </xdr:nvPicPr>
      <xdr:blipFill>
        <a:blip xmlns:r="http://schemas.openxmlformats.org/officeDocument/2006/relationships" r:embed="rId1"/>
        <a:stretch>
          <a:fillRect/>
        </a:stretch>
      </xdr:blipFill>
      <xdr:spPr bwMode="auto">
        <a:xfrm>
          <a:off x="13420673" y="5769430"/>
          <a:ext cx="274320" cy="255270"/>
        </a:xfrm>
        <a:prstGeom prst="rect">
          <a:avLst/>
        </a:prstGeom>
        <a:noFill/>
      </xdr:spPr>
    </xdr:pic>
    <xdr:clientData/>
  </xdr:twoCellAnchor>
  <xdr:twoCellAnchor editAs="oneCell">
    <xdr:from>
      <xdr:col>6</xdr:col>
      <xdr:colOff>262566</xdr:colOff>
      <xdr:row>21</xdr:row>
      <xdr:rowOff>65860</xdr:rowOff>
    </xdr:from>
    <xdr:to>
      <xdr:col>6</xdr:col>
      <xdr:colOff>536886</xdr:colOff>
      <xdr:row>21</xdr:row>
      <xdr:rowOff>340180</xdr:rowOff>
    </xdr:to>
    <xdr:pic macro="[0]!AssessmentTool_Picture6_Click">
      <xdr:nvPicPr>
        <xdr:cNvPr id="110" name="Picture 6"/>
        <xdr:cNvPicPr>
          <a:picLocks noChangeAspect="1" noChangeArrowheads="1"/>
        </xdr:cNvPicPr>
      </xdr:nvPicPr>
      <xdr:blipFill>
        <a:blip xmlns:r="http://schemas.openxmlformats.org/officeDocument/2006/relationships" r:embed="rId1"/>
        <a:srcRect/>
        <a:stretch>
          <a:fillRect/>
        </a:stretch>
      </xdr:blipFill>
      <xdr:spPr bwMode="auto">
        <a:xfrm>
          <a:off x="13420673" y="6148253"/>
          <a:ext cx="274320" cy="274320"/>
        </a:xfrm>
        <a:prstGeom prst="rect">
          <a:avLst/>
        </a:prstGeom>
        <a:noFill/>
      </xdr:spPr>
    </xdr:pic>
    <xdr:clientData/>
  </xdr:twoCellAnchor>
  <xdr:twoCellAnchor editAs="oneCell">
    <xdr:from>
      <xdr:col>6</xdr:col>
      <xdr:colOff>262566</xdr:colOff>
      <xdr:row>23</xdr:row>
      <xdr:rowOff>138793</xdr:rowOff>
    </xdr:from>
    <xdr:to>
      <xdr:col>6</xdr:col>
      <xdr:colOff>536886</xdr:colOff>
      <xdr:row>23</xdr:row>
      <xdr:rowOff>413113</xdr:rowOff>
    </xdr:to>
    <xdr:pic macro="[0]!Picture7_Click">
      <xdr:nvPicPr>
        <xdr:cNvPr id="111" name="Picture 7"/>
        <xdr:cNvPicPr>
          <a:picLocks noChangeAspect="1" noChangeArrowheads="1"/>
        </xdr:cNvPicPr>
      </xdr:nvPicPr>
      <xdr:blipFill>
        <a:blip xmlns:r="http://schemas.openxmlformats.org/officeDocument/2006/relationships" r:embed="rId1"/>
        <a:srcRect/>
        <a:stretch>
          <a:fillRect/>
        </a:stretch>
      </xdr:blipFill>
      <xdr:spPr bwMode="auto">
        <a:xfrm>
          <a:off x="13760852" y="8052707"/>
          <a:ext cx="274320" cy="274320"/>
        </a:xfrm>
        <a:prstGeom prst="rect">
          <a:avLst/>
        </a:prstGeom>
        <a:noFill/>
      </xdr:spPr>
    </xdr:pic>
    <xdr:clientData/>
  </xdr:twoCellAnchor>
  <xdr:twoCellAnchor editAs="oneCell">
    <xdr:from>
      <xdr:col>6</xdr:col>
      <xdr:colOff>262566</xdr:colOff>
      <xdr:row>24</xdr:row>
      <xdr:rowOff>163285</xdr:rowOff>
    </xdr:from>
    <xdr:to>
      <xdr:col>6</xdr:col>
      <xdr:colOff>536886</xdr:colOff>
      <xdr:row>24</xdr:row>
      <xdr:rowOff>437605</xdr:rowOff>
    </xdr:to>
    <xdr:pic macro="[0]!AssessmentTool_Picture8_Click">
      <xdr:nvPicPr>
        <xdr:cNvPr id="112" name="Picture 8"/>
        <xdr:cNvPicPr>
          <a:picLocks noChangeAspect="1" noChangeArrowheads="1"/>
        </xdr:cNvPicPr>
      </xdr:nvPicPr>
      <xdr:blipFill>
        <a:blip xmlns:r="http://schemas.openxmlformats.org/officeDocument/2006/relationships" r:embed="rId1"/>
        <a:srcRect/>
        <a:stretch>
          <a:fillRect/>
        </a:stretch>
      </xdr:blipFill>
      <xdr:spPr bwMode="auto">
        <a:xfrm>
          <a:off x="13420673" y="8164285"/>
          <a:ext cx="274320" cy="274320"/>
        </a:xfrm>
        <a:prstGeom prst="rect">
          <a:avLst/>
        </a:prstGeom>
        <a:noFill/>
      </xdr:spPr>
    </xdr:pic>
    <xdr:clientData/>
  </xdr:twoCellAnchor>
  <xdr:twoCellAnchor editAs="oneCell">
    <xdr:from>
      <xdr:col>6</xdr:col>
      <xdr:colOff>262566</xdr:colOff>
      <xdr:row>25</xdr:row>
      <xdr:rowOff>27214</xdr:rowOff>
    </xdr:from>
    <xdr:to>
      <xdr:col>6</xdr:col>
      <xdr:colOff>536886</xdr:colOff>
      <xdr:row>25</xdr:row>
      <xdr:rowOff>301534</xdr:rowOff>
    </xdr:to>
    <xdr:pic macro="[0]!AssessmentTool_Picture9_Click">
      <xdr:nvPicPr>
        <xdr:cNvPr id="113" name="Picture 9"/>
        <xdr:cNvPicPr>
          <a:picLocks noChangeAspect="1" noChangeArrowheads="1"/>
        </xdr:cNvPicPr>
      </xdr:nvPicPr>
      <xdr:blipFill>
        <a:blip xmlns:r="http://schemas.openxmlformats.org/officeDocument/2006/relationships" r:embed="rId1"/>
        <a:srcRect/>
        <a:stretch>
          <a:fillRect/>
        </a:stretch>
      </xdr:blipFill>
      <xdr:spPr bwMode="auto">
        <a:xfrm>
          <a:off x="13420673" y="8654143"/>
          <a:ext cx="274320" cy="274320"/>
        </a:xfrm>
        <a:prstGeom prst="rect">
          <a:avLst/>
        </a:prstGeom>
        <a:noFill/>
      </xdr:spPr>
    </xdr:pic>
    <xdr:clientData/>
  </xdr:twoCellAnchor>
  <xdr:twoCellAnchor editAs="oneCell">
    <xdr:from>
      <xdr:col>6</xdr:col>
      <xdr:colOff>262566</xdr:colOff>
      <xdr:row>26</xdr:row>
      <xdr:rowOff>27214</xdr:rowOff>
    </xdr:from>
    <xdr:to>
      <xdr:col>6</xdr:col>
      <xdr:colOff>536886</xdr:colOff>
      <xdr:row>26</xdr:row>
      <xdr:rowOff>301534</xdr:rowOff>
    </xdr:to>
    <xdr:pic macro="[0]!AssessmentTool_Picture10_Click">
      <xdr:nvPicPr>
        <xdr:cNvPr id="114" name="Picture 10"/>
        <xdr:cNvPicPr>
          <a:picLocks noChangeAspect="1" noChangeArrowheads="1"/>
        </xdr:cNvPicPr>
      </xdr:nvPicPr>
      <xdr:blipFill>
        <a:blip xmlns:r="http://schemas.openxmlformats.org/officeDocument/2006/relationships" r:embed="rId1"/>
        <a:srcRect/>
        <a:stretch>
          <a:fillRect/>
        </a:stretch>
      </xdr:blipFill>
      <xdr:spPr bwMode="auto">
        <a:xfrm>
          <a:off x="13420673" y="9375321"/>
          <a:ext cx="274320" cy="274320"/>
        </a:xfrm>
        <a:prstGeom prst="rect">
          <a:avLst/>
        </a:prstGeom>
        <a:noFill/>
      </xdr:spPr>
    </xdr:pic>
    <xdr:clientData/>
  </xdr:twoCellAnchor>
  <xdr:twoCellAnchor editAs="oneCell">
    <xdr:from>
      <xdr:col>6</xdr:col>
      <xdr:colOff>262566</xdr:colOff>
      <xdr:row>27</xdr:row>
      <xdr:rowOff>40821</xdr:rowOff>
    </xdr:from>
    <xdr:to>
      <xdr:col>6</xdr:col>
      <xdr:colOff>536886</xdr:colOff>
      <xdr:row>27</xdr:row>
      <xdr:rowOff>315141</xdr:rowOff>
    </xdr:to>
    <xdr:pic macro="[0]!Picture11_Click">
      <xdr:nvPicPr>
        <xdr:cNvPr id="115" name="Picture 11"/>
        <xdr:cNvPicPr>
          <a:picLocks noChangeAspect="1" noChangeArrowheads="1"/>
        </xdr:cNvPicPr>
      </xdr:nvPicPr>
      <xdr:blipFill>
        <a:blip xmlns:r="http://schemas.openxmlformats.org/officeDocument/2006/relationships" r:embed="rId1"/>
        <a:srcRect/>
        <a:stretch>
          <a:fillRect/>
        </a:stretch>
      </xdr:blipFill>
      <xdr:spPr bwMode="auto">
        <a:xfrm>
          <a:off x="13420673" y="9892392"/>
          <a:ext cx="274320" cy="274320"/>
        </a:xfrm>
        <a:prstGeom prst="rect">
          <a:avLst/>
        </a:prstGeom>
        <a:noFill/>
      </xdr:spPr>
    </xdr:pic>
    <xdr:clientData/>
  </xdr:twoCellAnchor>
  <xdr:twoCellAnchor editAs="oneCell">
    <xdr:from>
      <xdr:col>6</xdr:col>
      <xdr:colOff>261641</xdr:colOff>
      <xdr:row>28</xdr:row>
      <xdr:rowOff>40821</xdr:rowOff>
    </xdr:from>
    <xdr:to>
      <xdr:col>6</xdr:col>
      <xdr:colOff>537811</xdr:colOff>
      <xdr:row>28</xdr:row>
      <xdr:rowOff>315141</xdr:rowOff>
    </xdr:to>
    <xdr:pic macro="[0]!Picture13_Click">
      <xdr:nvPicPr>
        <xdr:cNvPr id="116" name="Picture 13"/>
        <xdr:cNvPicPr>
          <a:picLocks noChangeAspect="1" noChangeArrowheads="1"/>
        </xdr:cNvPicPr>
      </xdr:nvPicPr>
      <xdr:blipFill>
        <a:blip xmlns:r="http://schemas.openxmlformats.org/officeDocument/2006/relationships" r:embed="rId1"/>
        <a:srcRect/>
        <a:stretch>
          <a:fillRect/>
        </a:stretch>
      </xdr:blipFill>
      <xdr:spPr bwMode="auto">
        <a:xfrm>
          <a:off x="13419748" y="10518321"/>
          <a:ext cx="276170" cy="274320"/>
        </a:xfrm>
        <a:prstGeom prst="rect">
          <a:avLst/>
        </a:prstGeom>
        <a:noFill/>
      </xdr:spPr>
    </xdr:pic>
    <xdr:clientData/>
  </xdr:twoCellAnchor>
  <xdr:twoCellAnchor editAs="oneCell">
    <xdr:from>
      <xdr:col>6</xdr:col>
      <xdr:colOff>263478</xdr:colOff>
      <xdr:row>29</xdr:row>
      <xdr:rowOff>40821</xdr:rowOff>
    </xdr:from>
    <xdr:to>
      <xdr:col>6</xdr:col>
      <xdr:colOff>535974</xdr:colOff>
      <xdr:row>29</xdr:row>
      <xdr:rowOff>315141</xdr:rowOff>
    </xdr:to>
    <xdr:pic macro="[0]!Picture14_Click">
      <xdr:nvPicPr>
        <xdr:cNvPr id="117" name="Picture 14"/>
        <xdr:cNvPicPr>
          <a:picLocks noChangeAspect="1" noChangeArrowheads="1"/>
        </xdr:cNvPicPr>
      </xdr:nvPicPr>
      <xdr:blipFill>
        <a:blip xmlns:r="http://schemas.openxmlformats.org/officeDocument/2006/relationships" r:embed="rId1"/>
        <a:srcRect/>
        <a:stretch>
          <a:fillRect/>
        </a:stretch>
      </xdr:blipFill>
      <xdr:spPr bwMode="auto">
        <a:xfrm>
          <a:off x="13421585" y="10994571"/>
          <a:ext cx="272496" cy="274320"/>
        </a:xfrm>
        <a:prstGeom prst="rect">
          <a:avLst/>
        </a:prstGeom>
        <a:noFill/>
      </xdr:spPr>
    </xdr:pic>
    <xdr:clientData/>
  </xdr:twoCellAnchor>
  <xdr:twoCellAnchor editAs="oneCell">
    <xdr:from>
      <xdr:col>6</xdr:col>
      <xdr:colOff>244926</xdr:colOff>
      <xdr:row>73</xdr:row>
      <xdr:rowOff>81642</xdr:rowOff>
    </xdr:from>
    <xdr:to>
      <xdr:col>6</xdr:col>
      <xdr:colOff>516218</xdr:colOff>
      <xdr:row>73</xdr:row>
      <xdr:rowOff>355962</xdr:rowOff>
    </xdr:to>
    <xdr:pic macro="[0]!Picture81_Click">
      <xdr:nvPicPr>
        <xdr:cNvPr id="1105" name="Picture 81" descr="C:\Users\MI\AppData\Local\Microsoft\Windows\Temporary Internet Files\Content.IE5\023G0063\MM900336396[1].gif"/>
        <xdr:cNvPicPr>
          <a:picLocks noChangeAspect="1" noChangeArrowheads="1"/>
        </xdr:cNvPicPr>
      </xdr:nvPicPr>
      <xdr:blipFill>
        <a:blip xmlns:r="http://schemas.openxmlformats.org/officeDocument/2006/relationships" r:embed="rId1"/>
        <a:srcRect/>
        <a:stretch>
          <a:fillRect/>
        </a:stretch>
      </xdr:blipFill>
      <xdr:spPr bwMode="auto">
        <a:xfrm>
          <a:off x="13403033" y="28452535"/>
          <a:ext cx="271292" cy="274320"/>
        </a:xfrm>
        <a:prstGeom prst="rect">
          <a:avLst/>
        </a:prstGeom>
        <a:noFill/>
      </xdr:spPr>
    </xdr:pic>
    <xdr:clientData/>
  </xdr:twoCellAnchor>
  <xdr:twoCellAnchor editAs="oneCell">
    <xdr:from>
      <xdr:col>4</xdr:col>
      <xdr:colOff>10886</xdr:colOff>
      <xdr:row>11</xdr:row>
      <xdr:rowOff>304801</xdr:rowOff>
    </xdr:from>
    <xdr:to>
      <xdr:col>4</xdr:col>
      <xdr:colOff>653143</xdr:colOff>
      <xdr:row>13</xdr:row>
      <xdr:rowOff>45668</xdr:rowOff>
    </xdr:to>
    <xdr:pic macro="[0]!ResetScore">
      <xdr:nvPicPr>
        <xdr:cNvPr id="103" name="Picture 102" descr="C:\Users\avedra\AppData\Local\Microsoft\Windows\Temporary Internet Files\Content.IE5\7J83DIKR\MC900442138[1].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930743" y="1632858"/>
          <a:ext cx="642257" cy="633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s://wiki.internet2.edu/confluence/display/itsg2/Information+Systems+Acquisition%2C+Development%2C+and+Maintenance+%28ISO+12%29" TargetMode="External"/><Relationship Id="rId13" Type="http://schemas.openxmlformats.org/officeDocument/2006/relationships/drawing" Target="../drawings/drawing1.xml"/><Relationship Id="rId3" Type="http://schemas.openxmlformats.org/officeDocument/2006/relationships/hyperlink" Target="https://wiki.internet2.edu/confluence/display/itsg2/Asset+Management+%28ISO+7%29" TargetMode="External"/><Relationship Id="rId7" Type="http://schemas.openxmlformats.org/officeDocument/2006/relationships/hyperlink" Target="https://wiki.internet2.edu/confluence/display/itsg2/Access+Control+%28ISO+11%29" TargetMode="External"/><Relationship Id="rId12" Type="http://schemas.openxmlformats.org/officeDocument/2006/relationships/hyperlink" Target="https://wiki.internet2.edu/confluence/display/itsg2/Organization+of+Information+Security+%28ISO+6%29" TargetMode="External"/><Relationship Id="rId2" Type="http://schemas.openxmlformats.org/officeDocument/2006/relationships/hyperlink" Target="https://wiki.internet2.edu/confluence/display/itsg2/Security+Policy+%28ISO+5%29" TargetMode="External"/><Relationship Id="rId1" Type="http://schemas.openxmlformats.org/officeDocument/2006/relationships/hyperlink" Target="https://wiki.internet2.edu/confluence/display/itsg2/Risk+Management+%28ISO+4%29" TargetMode="External"/><Relationship Id="rId6" Type="http://schemas.openxmlformats.org/officeDocument/2006/relationships/hyperlink" Target="https://wiki.internet2.edu/confluence/display/itsg2/Communications+and+Operations+Management+%28ISO+10%29" TargetMode="External"/><Relationship Id="rId11" Type="http://schemas.openxmlformats.org/officeDocument/2006/relationships/hyperlink" Target="https://wiki.internet2.edu/confluence/display/itsg2/Compliance+%28ISO+15%29" TargetMode="External"/><Relationship Id="rId5" Type="http://schemas.openxmlformats.org/officeDocument/2006/relationships/hyperlink" Target="https://wiki.internet2.edu/confluence/display/itsg2/Physical+and+Environmental+Security+%28ISO+9%29" TargetMode="External"/><Relationship Id="rId10" Type="http://schemas.openxmlformats.org/officeDocument/2006/relationships/hyperlink" Target="https://wiki.internet2.edu/confluence/display/itsg2/Business+Continuity+Management+%28ISO+14%29" TargetMode="External"/><Relationship Id="rId4" Type="http://schemas.openxmlformats.org/officeDocument/2006/relationships/hyperlink" Target="https://wiki.internet2.edu/confluence/display/itsg2/Human+Resources+Security+%28ISO+8%29" TargetMode="External"/><Relationship Id="rId9" Type="http://schemas.openxmlformats.org/officeDocument/2006/relationships/hyperlink" Target="https://wiki.internet2.edu/confluence/display/itsg2/Information+Security+Incident+Management+%28ISO+13%2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4"/>
  <sheetViews>
    <sheetView view="pageLayout" zoomScale="110" zoomScaleNormal="110" zoomScaleSheetLayoutView="100" zoomScalePageLayoutView="110" workbookViewId="0"/>
  </sheetViews>
  <sheetFormatPr defaultColWidth="8.7109375" defaultRowHeight="15"/>
  <cols>
    <col min="1" max="1" width="141.7109375" customWidth="1"/>
  </cols>
  <sheetData>
    <row r="1" spans="1:1" ht="94.5" customHeight="1">
      <c r="A1" s="57" t="s">
        <v>726</v>
      </c>
    </row>
    <row r="2" spans="1:1" ht="231" customHeight="1">
      <c r="A2" s="57" t="s">
        <v>721</v>
      </c>
    </row>
    <row r="3" spans="1:1" ht="21.75" customHeight="1">
      <c r="A3" s="42" t="s">
        <v>158</v>
      </c>
    </row>
    <row r="4" spans="1:1" ht="60.75" customHeight="1">
      <c r="A4" s="54" t="s">
        <v>516</v>
      </c>
    </row>
    <row r="5" spans="1:1">
      <c r="A5" s="41"/>
    </row>
    <row r="6" spans="1:1">
      <c r="A6" s="42" t="s">
        <v>159</v>
      </c>
    </row>
    <row r="7" spans="1:1">
      <c r="A7" s="41" t="s">
        <v>490</v>
      </c>
    </row>
    <row r="8" spans="1:1">
      <c r="A8" s="41"/>
    </row>
    <row r="9" spans="1:1">
      <c r="A9" s="42" t="s">
        <v>160</v>
      </c>
    </row>
    <row r="10" spans="1:1" ht="30">
      <c r="A10" s="41" t="s">
        <v>517</v>
      </c>
    </row>
    <row r="11" spans="1:1">
      <c r="A11" s="41"/>
    </row>
    <row r="12" spans="1:1">
      <c r="A12" s="42" t="s">
        <v>161</v>
      </c>
    </row>
    <row r="13" spans="1:1" ht="30">
      <c r="A13" s="41" t="s">
        <v>529</v>
      </c>
    </row>
    <row r="14" spans="1:1">
      <c r="A14" s="41"/>
    </row>
    <row r="15" spans="1:1">
      <c r="A15" s="42" t="s">
        <v>511</v>
      </c>
    </row>
    <row r="16" spans="1:1" ht="39" customHeight="1">
      <c r="A16" s="41" t="s">
        <v>489</v>
      </c>
    </row>
    <row r="17" spans="1:1">
      <c r="A17" s="41"/>
    </row>
    <row r="18" spans="1:1">
      <c r="A18" s="42" t="s">
        <v>512</v>
      </c>
    </row>
    <row r="19" spans="1:1" ht="30">
      <c r="A19" s="41" t="s">
        <v>542</v>
      </c>
    </row>
    <row r="20" spans="1:1">
      <c r="A20" s="41"/>
    </row>
    <row r="21" spans="1:1">
      <c r="A21" s="42" t="s">
        <v>513</v>
      </c>
    </row>
    <row r="22" spans="1:1">
      <c r="A22" s="41" t="s">
        <v>491</v>
      </c>
    </row>
    <row r="23" spans="1:1">
      <c r="A23" s="41"/>
    </row>
    <row r="24" spans="1:1">
      <c r="A24" s="42" t="s">
        <v>162</v>
      </c>
    </row>
    <row r="25" spans="1:1" ht="30">
      <c r="A25" s="41" t="s">
        <v>163</v>
      </c>
    </row>
    <row r="26" spans="1:1">
      <c r="A26" s="41"/>
    </row>
    <row r="27" spans="1:1">
      <c r="A27" s="42" t="s">
        <v>518</v>
      </c>
    </row>
    <row r="28" spans="1:1" ht="15" customHeight="1">
      <c r="A28" s="41" t="s">
        <v>164</v>
      </c>
    </row>
    <row r="29" spans="1:1">
      <c r="A29" s="41"/>
    </row>
    <row r="30" spans="1:1">
      <c r="A30" s="42" t="s">
        <v>514</v>
      </c>
    </row>
    <row r="31" spans="1:1" ht="30">
      <c r="A31" s="41" t="s">
        <v>156</v>
      </c>
    </row>
    <row r="32" spans="1:1">
      <c r="A32" s="41"/>
    </row>
    <row r="33" spans="1:1">
      <c r="A33" s="42" t="s">
        <v>515</v>
      </c>
    </row>
    <row r="34" spans="1:1" ht="45">
      <c r="A34" s="41" t="s">
        <v>492</v>
      </c>
    </row>
    <row r="35" spans="1:1">
      <c r="A35" s="41"/>
    </row>
    <row r="36" spans="1:1">
      <c r="A36" s="42" t="s">
        <v>165</v>
      </c>
    </row>
    <row r="37" spans="1:1" ht="39.75" customHeight="1">
      <c r="A37" s="41" t="s">
        <v>157</v>
      </c>
    </row>
    <row r="63" spans="1:1">
      <c r="A63" s="178" t="s">
        <v>739</v>
      </c>
    </row>
    <row r="64" spans="1:1">
      <c r="A64" s="178"/>
    </row>
  </sheetData>
  <customSheetViews>
    <customSheetView guid="{EF5CB27C-5FE0-45F3-94B2-4859305A3BC1}" scale="110">
      <pageMargins left="0.7" right="0.7" top="0.75" bottom="0.75" header="0.3" footer="0.3"/>
      <pageSetup orientation="portrait"/>
    </customSheetView>
  </customSheetViews>
  <mergeCells count="1">
    <mergeCell ref="A63:A64"/>
  </mergeCells>
  <phoneticPr fontId="22" type="noConversion"/>
  <pageMargins left="0.7" right="0.7" top="0.75" bottom="0.75" header="0.3" footer="0.3"/>
  <pageSetup orientation="portrait" r:id="rId1"/>
  <headerFooter>
    <oddHeader>&amp;CIntroduction and Guidance</oddHeader>
  </headerFooter>
  <extLst>
    <ext xmlns:mx="http://schemas.microsoft.com/office/mac/excel/2008/main" uri="{64002731-A6B0-56B0-2670-7721B7C09600}">
      <mx:PLV Mode="1"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9"/>
  <sheetViews>
    <sheetView zoomScale="125" zoomScaleNormal="125" zoomScalePageLayoutView="125" workbookViewId="0">
      <selection activeCell="B1" sqref="B1"/>
    </sheetView>
  </sheetViews>
  <sheetFormatPr defaultColWidth="8.7109375" defaultRowHeight="15"/>
  <cols>
    <col min="1" max="1" width="4.7109375" customWidth="1"/>
    <col min="2" max="2" width="31.140625" customWidth="1"/>
    <col min="3" max="3" width="93.7109375" customWidth="1"/>
    <col min="4" max="4" width="87" hidden="1" customWidth="1"/>
    <col min="5" max="5" width="26.140625" customWidth="1"/>
    <col min="6" max="6" width="23.7109375" customWidth="1"/>
    <col min="7" max="7" width="14.7109375" customWidth="1"/>
    <col min="8" max="8" width="27" customWidth="1"/>
  </cols>
  <sheetData>
    <row r="1" spans="1:8" ht="15.75">
      <c r="A1" s="112"/>
      <c r="B1" s="114" t="s">
        <v>146</v>
      </c>
      <c r="C1" s="114" t="s">
        <v>488</v>
      </c>
      <c r="D1" s="115" t="s">
        <v>147</v>
      </c>
      <c r="E1" s="117" t="s">
        <v>555</v>
      </c>
      <c r="F1" s="117" t="s">
        <v>573</v>
      </c>
      <c r="G1" s="117" t="s">
        <v>574</v>
      </c>
      <c r="H1" s="117" t="s">
        <v>575</v>
      </c>
    </row>
    <row r="2" spans="1:8" ht="29.25" customHeight="1">
      <c r="A2" s="113">
        <v>0</v>
      </c>
      <c r="B2" s="55" t="s">
        <v>519</v>
      </c>
      <c r="C2" s="55" t="s">
        <v>493</v>
      </c>
      <c r="D2" s="116"/>
      <c r="E2" s="118" t="s">
        <v>556</v>
      </c>
      <c r="F2" s="118" t="s">
        <v>576</v>
      </c>
      <c r="G2" s="118" t="s">
        <v>576</v>
      </c>
      <c r="H2" s="118" t="s">
        <v>576</v>
      </c>
    </row>
    <row r="3" spans="1:8" ht="90" customHeight="1">
      <c r="A3" s="113">
        <v>1</v>
      </c>
      <c r="B3" s="55" t="s">
        <v>148</v>
      </c>
      <c r="C3" s="55" t="s">
        <v>494</v>
      </c>
      <c r="D3" s="116" t="s">
        <v>149</v>
      </c>
      <c r="E3" s="118" t="s">
        <v>557</v>
      </c>
      <c r="F3" s="118" t="s">
        <v>577</v>
      </c>
      <c r="G3" s="118" t="s">
        <v>578</v>
      </c>
      <c r="H3" s="119" t="s">
        <v>579</v>
      </c>
    </row>
    <row r="4" spans="1:8" ht="56.25" customHeight="1">
      <c r="A4" s="113">
        <v>2</v>
      </c>
      <c r="B4" s="56" t="s">
        <v>602</v>
      </c>
      <c r="C4" s="56" t="s">
        <v>544</v>
      </c>
      <c r="D4" s="116" t="s">
        <v>150</v>
      </c>
      <c r="E4" s="118" t="s">
        <v>558</v>
      </c>
      <c r="F4" s="118" t="s">
        <v>580</v>
      </c>
      <c r="G4" s="118" t="s">
        <v>581</v>
      </c>
      <c r="H4" s="119" t="s">
        <v>582</v>
      </c>
    </row>
    <row r="5" spans="1:8" ht="67.5" customHeight="1">
      <c r="A5" s="113">
        <v>3</v>
      </c>
      <c r="B5" s="55" t="s">
        <v>151</v>
      </c>
      <c r="C5" s="55" t="s">
        <v>510</v>
      </c>
      <c r="D5" s="116" t="s">
        <v>152</v>
      </c>
      <c r="E5" s="118" t="s">
        <v>559</v>
      </c>
      <c r="F5" s="118" t="s">
        <v>583</v>
      </c>
      <c r="G5" s="118" t="s">
        <v>584</v>
      </c>
      <c r="H5" s="119" t="s">
        <v>585</v>
      </c>
    </row>
    <row r="6" spans="1:8" ht="64.5" customHeight="1">
      <c r="A6" s="113">
        <v>4</v>
      </c>
      <c r="B6" s="120" t="s">
        <v>153</v>
      </c>
      <c r="C6" s="177" t="s">
        <v>736</v>
      </c>
      <c r="D6" s="116" t="s">
        <v>509</v>
      </c>
      <c r="E6" s="118" t="s">
        <v>560</v>
      </c>
      <c r="F6" s="118" t="s">
        <v>586</v>
      </c>
      <c r="G6" s="118" t="s">
        <v>587</v>
      </c>
      <c r="H6" s="119" t="s">
        <v>588</v>
      </c>
    </row>
    <row r="7" spans="1:8" ht="81" customHeight="1">
      <c r="A7" s="179">
        <v>5</v>
      </c>
      <c r="B7" s="183" t="s">
        <v>118</v>
      </c>
      <c r="C7" s="182" t="s">
        <v>737</v>
      </c>
      <c r="D7" s="116" t="s">
        <v>154</v>
      </c>
      <c r="E7" s="180"/>
      <c r="F7" s="180" t="s">
        <v>589</v>
      </c>
      <c r="G7" s="180" t="s">
        <v>590</v>
      </c>
      <c r="H7" s="181" t="s">
        <v>591</v>
      </c>
    </row>
    <row r="8" spans="1:8" ht="15.75" customHeight="1">
      <c r="A8" s="179"/>
      <c r="B8" s="184"/>
      <c r="C8" s="182"/>
      <c r="D8" s="40"/>
      <c r="E8" s="180"/>
      <c r="F8" s="180"/>
      <c r="G8" s="180"/>
      <c r="H8" s="181"/>
    </row>
    <row r="9" spans="1:8">
      <c r="A9" s="40" t="s">
        <v>552</v>
      </c>
      <c r="B9" s="40"/>
    </row>
  </sheetData>
  <customSheetViews>
    <customSheetView guid="{EF5CB27C-5FE0-45F3-94B2-4859305A3BC1}" scale="120">
      <selection activeCell="C6" sqref="C6"/>
      <pageMargins left="0.7" right="0.7" top="0.75" bottom="0.75" header="0.3" footer="0.3"/>
      <pageSetup scale="47" orientation="portrait"/>
    </customSheetView>
  </customSheetViews>
  <mergeCells count="7">
    <mergeCell ref="A7:A8"/>
    <mergeCell ref="E7:E8"/>
    <mergeCell ref="F7:F8"/>
    <mergeCell ref="G7:G8"/>
    <mergeCell ref="H7:H8"/>
    <mergeCell ref="C7:C8"/>
    <mergeCell ref="B7:B8"/>
  </mergeCells>
  <phoneticPr fontId="35" type="noConversion"/>
  <pageMargins left="0.7" right="0.7" top="0.75" bottom="0.75" header="0.3" footer="0.3"/>
  <pageSetup scale="55"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A1182"/>
  <sheetViews>
    <sheetView showGridLines="0" topLeftCell="B10" zoomScale="70" zoomScaleNormal="70" zoomScalePageLayoutView="70" workbookViewId="0">
      <selection activeCell="C10" sqref="C10"/>
    </sheetView>
  </sheetViews>
  <sheetFormatPr defaultColWidth="8.7109375" defaultRowHeight="15.75"/>
  <cols>
    <col min="1" max="1" width="11.7109375" style="15" hidden="1" customWidth="1"/>
    <col min="2" max="2" width="5.140625" style="98" customWidth="1"/>
    <col min="3" max="3" width="109.140625" style="15" customWidth="1"/>
    <col min="4" max="4" width="59.7109375" style="64" customWidth="1"/>
    <col min="5" max="5" width="11" style="111" customWidth="1"/>
    <col min="6" max="6" width="12.140625" style="153" customWidth="1"/>
    <col min="7" max="7" width="11.42578125" style="125" customWidth="1"/>
    <col min="8" max="8" width="8.7109375" style="3"/>
    <col min="9" max="9" width="53.42578125" style="3" customWidth="1"/>
    <col min="10" max="10" width="17.140625" style="3" customWidth="1"/>
    <col min="11" max="11" width="38.28515625" style="3" customWidth="1"/>
    <col min="12" max="16384" width="8.7109375" style="3"/>
  </cols>
  <sheetData>
    <row r="1" spans="1:53" s="2" customFormat="1" ht="43.5" hidden="1" customHeight="1">
      <c r="B1" s="91"/>
      <c r="C1" s="44" t="s">
        <v>697</v>
      </c>
      <c r="D1" s="59"/>
      <c r="E1" s="154"/>
      <c r="F1" s="59"/>
      <c r="G1" s="122"/>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row>
    <row r="2" spans="1:53" s="1" customFormat="1" ht="36" hidden="1" customHeight="1">
      <c r="B2" s="91"/>
      <c r="C2" s="70" t="s">
        <v>155</v>
      </c>
      <c r="D2" s="60"/>
      <c r="E2" s="103"/>
      <c r="F2" s="152"/>
      <c r="G2" s="122"/>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row>
    <row r="3" spans="1:53" s="1" customFormat="1" ht="36" hidden="1" customHeight="1">
      <c r="B3" s="91"/>
      <c r="C3" s="71" t="s">
        <v>127</v>
      </c>
      <c r="D3" s="61"/>
      <c r="E3" s="103"/>
      <c r="F3" s="59"/>
      <c r="G3" s="122"/>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row>
    <row r="4" spans="1:53" s="1" customFormat="1" ht="30.75" hidden="1" customHeight="1">
      <c r="B4" s="91"/>
      <c r="C4" s="72" t="s">
        <v>532</v>
      </c>
      <c r="D4" s="61"/>
      <c r="E4" s="103"/>
      <c r="F4" s="59"/>
      <c r="G4" s="122"/>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row>
    <row r="5" spans="1:53" s="1" customFormat="1" ht="22.5" hidden="1" customHeight="1">
      <c r="B5" s="91"/>
      <c r="C5" s="72" t="s">
        <v>531</v>
      </c>
      <c r="D5" s="61" t="s">
        <v>551</v>
      </c>
      <c r="E5" s="103"/>
      <c r="F5" s="59"/>
      <c r="G5" s="122" t="s">
        <v>550</v>
      </c>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row>
    <row r="6" spans="1:53" s="1" customFormat="1" ht="24" hidden="1" customHeight="1">
      <c r="B6" s="91"/>
      <c r="C6" s="73" t="s">
        <v>502</v>
      </c>
      <c r="D6" s="61" t="s">
        <v>549</v>
      </c>
      <c r="E6" s="103"/>
      <c r="F6" s="59"/>
      <c r="G6" s="122">
        <v>0</v>
      </c>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row>
    <row r="7" spans="1:53" s="1" customFormat="1" ht="33" hidden="1" customHeight="1">
      <c r="B7" s="91"/>
      <c r="C7" s="74" t="s">
        <v>533</v>
      </c>
      <c r="D7" s="61" t="s">
        <v>548</v>
      </c>
      <c r="E7" s="103"/>
      <c r="F7" s="59"/>
      <c r="G7" s="122" t="s">
        <v>547</v>
      </c>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row>
    <row r="8" spans="1:53" s="2" customFormat="1" ht="42.75" hidden="1" customHeight="1">
      <c r="B8" s="91"/>
      <c r="C8" s="75" t="s">
        <v>543</v>
      </c>
      <c r="D8" s="61" t="s">
        <v>125</v>
      </c>
      <c r="E8" s="104"/>
      <c r="F8" s="59"/>
      <c r="G8" s="122"/>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row>
    <row r="9" spans="1:53" s="2" customFormat="1" ht="52.5" hidden="1" customHeight="1">
      <c r="B9" s="91"/>
      <c r="C9" s="75" t="s">
        <v>530</v>
      </c>
      <c r="D9" s="62" t="s">
        <v>546</v>
      </c>
      <c r="E9" s="104"/>
      <c r="F9" s="59"/>
      <c r="G9" s="122" t="s">
        <v>545</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row>
    <row r="10" spans="1:53" s="2" customFormat="1" ht="52.5" customHeight="1">
      <c r="B10" s="91"/>
      <c r="C10" s="167" t="s">
        <v>720</v>
      </c>
      <c r="D10" s="169" t="s">
        <v>572</v>
      </c>
      <c r="E10" s="104"/>
      <c r="F10" s="59"/>
      <c r="G10" s="122"/>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row>
    <row r="11" spans="1:53" s="2" customFormat="1" ht="52.5" customHeight="1">
      <c r="B11" s="91"/>
      <c r="C11" s="167" t="s">
        <v>717</v>
      </c>
      <c r="D11" s="104"/>
      <c r="E11" s="104"/>
      <c r="F11" s="59"/>
      <c r="G11" s="122"/>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row>
    <row r="12" spans="1:53" s="2" customFormat="1" ht="37.5" customHeight="1">
      <c r="B12" s="91"/>
      <c r="C12" s="167" t="s">
        <v>716</v>
      </c>
      <c r="D12" s="104"/>
      <c r="E12" s="104"/>
      <c r="F12" s="59"/>
      <c r="G12" s="122"/>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row>
    <row r="13" spans="1:53" s="2" customFormat="1" ht="33.75" customHeight="1">
      <c r="B13" s="91"/>
      <c r="C13" s="168" t="s">
        <v>718</v>
      </c>
      <c r="D13" s="174" t="s">
        <v>735</v>
      </c>
      <c r="E13" s="104"/>
      <c r="F13" s="155"/>
      <c r="G13" s="122"/>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row>
    <row r="14" spans="1:53" s="4" customFormat="1" ht="93.75" customHeight="1">
      <c r="A14" s="43" t="s">
        <v>73</v>
      </c>
      <c r="B14" s="34"/>
      <c r="C14" s="126" t="s">
        <v>128</v>
      </c>
      <c r="D14" s="165" t="s">
        <v>733</v>
      </c>
      <c r="E14" s="100" t="s">
        <v>711</v>
      </c>
      <c r="F14" s="156" t="s">
        <v>712</v>
      </c>
      <c r="G14" s="145" t="s">
        <v>715</v>
      </c>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row>
    <row r="15" spans="1:53" s="4" customFormat="1" ht="40.15" customHeight="1">
      <c r="A15" s="39"/>
      <c r="B15" s="34"/>
      <c r="C15" s="166" t="s">
        <v>694</v>
      </c>
      <c r="D15" s="101" t="s">
        <v>565</v>
      </c>
      <c r="E15" s="185">
        <f>IFERROR(AVERAGE(E16:E18),"")</f>
        <v>0</v>
      </c>
      <c r="F15" s="186"/>
      <c r="G15" s="187"/>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row>
    <row r="16" spans="1:53" s="4" customFormat="1" ht="40.15" customHeight="1">
      <c r="A16" s="27"/>
      <c r="B16" s="65">
        <f>1</f>
        <v>1</v>
      </c>
      <c r="C16" s="158" t="s">
        <v>700</v>
      </c>
      <c r="D16" s="67" t="s">
        <v>519</v>
      </c>
      <c r="E16" s="105" t="b">
        <f>IF(D16="","",IF(D16="No",0,IF(D16="Yes",5)))</f>
        <v>0</v>
      </c>
      <c r="F16" s="157"/>
      <c r="G16" s="146" t="s">
        <v>713</v>
      </c>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row>
    <row r="17" spans="1:53" s="5" customFormat="1" ht="40.15" customHeight="1">
      <c r="A17" s="23" t="s">
        <v>115</v>
      </c>
      <c r="B17" s="65">
        <v>2</v>
      </c>
      <c r="C17" s="158" t="s">
        <v>495</v>
      </c>
      <c r="D17" s="67" t="s">
        <v>519</v>
      </c>
      <c r="E17" s="105">
        <f>VLOOKUP(D17,Lookups!$A$2:$B$8,2,FALSE)</f>
        <v>0</v>
      </c>
      <c r="F17" s="157"/>
      <c r="G17" s="147"/>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row>
    <row r="18" spans="1:53" s="4" customFormat="1" ht="40.15" customHeight="1">
      <c r="A18" s="24" t="s">
        <v>114</v>
      </c>
      <c r="B18" s="65">
        <v>3</v>
      </c>
      <c r="C18" s="76" t="s">
        <v>701</v>
      </c>
      <c r="D18" s="67" t="s">
        <v>519</v>
      </c>
      <c r="E18" s="105">
        <f>VLOOKUP(D18,Lookups!$A$2:$B$8,2,FALSE)</f>
        <v>0</v>
      </c>
      <c r="F18" s="157"/>
      <c r="G18" s="147"/>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row>
    <row r="19" spans="1:53" s="4" customFormat="1" ht="40.15" customHeight="1">
      <c r="A19" s="39"/>
      <c r="B19" s="34"/>
      <c r="C19" s="166" t="s">
        <v>592</v>
      </c>
      <c r="D19" s="101" t="s">
        <v>566</v>
      </c>
      <c r="E19" s="185">
        <f>IFERROR(AVERAGE(E20:E22),"")</f>
        <v>0</v>
      </c>
      <c r="F19" s="186"/>
      <c r="G19" s="187"/>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row>
    <row r="20" spans="1:53" s="4" customFormat="1" ht="40.15" customHeight="1">
      <c r="A20" s="25"/>
      <c r="B20" s="65">
        <v>4</v>
      </c>
      <c r="C20" s="158" t="s">
        <v>562</v>
      </c>
      <c r="D20" s="67" t="s">
        <v>519</v>
      </c>
      <c r="E20" s="105">
        <f>VLOOKUP(D20,Lookups!$A$2:$B$8,2,FALSE)</f>
        <v>0</v>
      </c>
      <c r="F20" s="157"/>
      <c r="G20" s="148"/>
      <c r="H20" s="10"/>
      <c r="I20" s="41"/>
      <c r="J20" s="66"/>
      <c r="K20" s="66"/>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row>
    <row r="21" spans="1:53" s="4" customFormat="1" ht="40.15" customHeight="1">
      <c r="A21" s="24" t="s">
        <v>3</v>
      </c>
      <c r="B21" s="65">
        <v>5</v>
      </c>
      <c r="C21" s="77" t="s">
        <v>563</v>
      </c>
      <c r="D21" s="67" t="s">
        <v>519</v>
      </c>
      <c r="E21" s="105">
        <f>VLOOKUP(D21,Lookups!$A$2:$B$8,2,FALSE)</f>
        <v>0</v>
      </c>
      <c r="F21" s="157"/>
      <c r="G21" s="148"/>
      <c r="H21" s="10"/>
      <c r="I21" s="41"/>
      <c r="J21" s="66"/>
      <c r="K21" s="66"/>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row>
    <row r="22" spans="1:53" s="4" customFormat="1" ht="40.15" customHeight="1">
      <c r="A22" s="24" t="s">
        <v>4</v>
      </c>
      <c r="B22" s="65">
        <v>6</v>
      </c>
      <c r="C22" s="77" t="s">
        <v>96</v>
      </c>
      <c r="D22" s="67" t="s">
        <v>519</v>
      </c>
      <c r="E22" s="105">
        <f>VLOOKUP(D22,Lookups!$A$2:$B$8,2,FALSE)</f>
        <v>0</v>
      </c>
      <c r="F22" s="157"/>
      <c r="G22" s="149"/>
      <c r="H22" s="10"/>
      <c r="I22" s="41"/>
      <c r="J22" s="66"/>
      <c r="K22" s="66"/>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row>
    <row r="23" spans="1:53" s="4" customFormat="1" ht="40.15" customHeight="1">
      <c r="A23" s="25"/>
      <c r="B23" s="65">
        <v>7</v>
      </c>
      <c r="C23" s="166" t="s">
        <v>692</v>
      </c>
      <c r="D23" s="101" t="s">
        <v>564</v>
      </c>
      <c r="E23" s="185">
        <f>IFERROR(AVERAGE(E24:E33),"")</f>
        <v>0</v>
      </c>
      <c r="F23" s="186"/>
      <c r="G23" s="187"/>
      <c r="H23" s="10"/>
      <c r="I23" s="41"/>
      <c r="J23" s="127"/>
      <c r="K23" s="127"/>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row>
    <row r="24" spans="1:53" s="4" customFormat="1" ht="40.15" customHeight="1">
      <c r="A24" s="26" t="s">
        <v>5</v>
      </c>
      <c r="B24" s="65">
        <v>8</v>
      </c>
      <c r="C24" s="78" t="s">
        <v>89</v>
      </c>
      <c r="D24" s="67" t="s">
        <v>519</v>
      </c>
      <c r="E24" s="105">
        <f>VLOOKUP(D24,Lookups!$A$2:$B$8,2,FALSE)</f>
        <v>0</v>
      </c>
      <c r="F24" s="157"/>
      <c r="G24" s="149"/>
      <c r="H24" s="10"/>
      <c r="I24" s="41"/>
      <c r="J24" s="66"/>
      <c r="K24" s="66"/>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row>
    <row r="25" spans="1:53" s="4" customFormat="1" ht="40.15" customHeight="1">
      <c r="A25" s="28" t="s">
        <v>70</v>
      </c>
      <c r="B25" s="92">
        <v>9</v>
      </c>
      <c r="C25" s="79" t="s">
        <v>702</v>
      </c>
      <c r="D25" s="67" t="s">
        <v>519</v>
      </c>
      <c r="E25" s="105">
        <f>VLOOKUP(D25,Lookups!$A$2:$B$8,2,FALSE)</f>
        <v>0</v>
      </c>
      <c r="F25" s="157"/>
      <c r="G25" s="149"/>
      <c r="H25" s="10"/>
      <c r="I25" s="41"/>
      <c r="J25" s="41"/>
      <c r="K25" s="66"/>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row>
    <row r="26" spans="1:53" s="4" customFormat="1" ht="40.15" customHeight="1">
      <c r="A26" s="26" t="s">
        <v>90</v>
      </c>
      <c r="B26" s="65">
        <v>10</v>
      </c>
      <c r="C26" s="78" t="s">
        <v>496</v>
      </c>
      <c r="D26" s="67" t="s">
        <v>519</v>
      </c>
      <c r="E26" s="105">
        <f>VLOOKUP(D26,Lookups!$A$2:$B$8,2,FALSE)</f>
        <v>0</v>
      </c>
      <c r="F26" s="157"/>
      <c r="G26" s="149"/>
      <c r="H26" s="10"/>
      <c r="I26" s="41"/>
      <c r="J26" s="41"/>
      <c r="K26" s="66"/>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row>
    <row r="27" spans="1:53" s="4" customFormat="1" ht="40.15" customHeight="1">
      <c r="A27" s="26" t="s">
        <v>2</v>
      </c>
      <c r="B27" s="65">
        <v>11</v>
      </c>
      <c r="C27" s="78" t="s">
        <v>497</v>
      </c>
      <c r="D27" s="67" t="s">
        <v>519</v>
      </c>
      <c r="E27" s="105">
        <f>VLOOKUP(D27,Lookups!$A$2:$B$8,2,FALSE)</f>
        <v>0</v>
      </c>
      <c r="F27" s="157"/>
      <c r="G27" s="149"/>
      <c r="H27" s="10"/>
      <c r="I27" s="41"/>
      <c r="J27" s="66"/>
      <c r="K27" s="52"/>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row>
    <row r="28" spans="1:53" s="4" customFormat="1" ht="40.15" customHeight="1">
      <c r="A28" s="24" t="s">
        <v>6</v>
      </c>
      <c r="B28" s="65">
        <v>12</v>
      </c>
      <c r="C28" s="77" t="s">
        <v>540</v>
      </c>
      <c r="D28" s="67" t="s">
        <v>519</v>
      </c>
      <c r="E28" s="105">
        <f>VLOOKUP(D28,Lookups!$A$2:$B$8,2,FALSE)</f>
        <v>0</v>
      </c>
      <c r="F28" s="157"/>
      <c r="G28" s="147"/>
      <c r="H28" s="10"/>
      <c r="I28" s="41"/>
      <c r="J28" s="66"/>
      <c r="K28" s="52"/>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row>
    <row r="29" spans="1:53" s="4" customFormat="1" ht="40.15" customHeight="1">
      <c r="A29" s="24" t="s">
        <v>7</v>
      </c>
      <c r="B29" s="65">
        <v>13</v>
      </c>
      <c r="C29" s="80" t="s">
        <v>553</v>
      </c>
      <c r="D29" s="67" t="s">
        <v>519</v>
      </c>
      <c r="E29" s="105">
        <f>VLOOKUP(D29,Lookups!$A$2:$B$8,2,FALSE)</f>
        <v>0</v>
      </c>
      <c r="F29" s="157"/>
      <c r="G29" s="149"/>
      <c r="H29" s="10"/>
      <c r="I29" s="41"/>
      <c r="J29" s="66"/>
      <c r="K29" s="52"/>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row>
    <row r="30" spans="1:53" s="4" customFormat="1" ht="40.15" customHeight="1">
      <c r="A30" s="24" t="s">
        <v>8</v>
      </c>
      <c r="B30" s="65">
        <v>14</v>
      </c>
      <c r="C30" s="80" t="s">
        <v>554</v>
      </c>
      <c r="D30" s="67" t="s">
        <v>519</v>
      </c>
      <c r="E30" s="105">
        <f>VLOOKUP(D30,Lookups!$A$2:$B$8,2,FALSE)</f>
        <v>0</v>
      </c>
      <c r="F30" s="157"/>
      <c r="G30" s="147"/>
      <c r="H30" s="10"/>
      <c r="I30" s="41"/>
      <c r="J30" s="41"/>
      <c r="K30" s="52"/>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row>
    <row r="31" spans="1:53" s="4" customFormat="1" ht="40.15" customHeight="1">
      <c r="A31" s="26" t="s">
        <v>9</v>
      </c>
      <c r="B31" s="65">
        <v>15</v>
      </c>
      <c r="C31" s="79" t="s">
        <v>97</v>
      </c>
      <c r="D31" s="67" t="s">
        <v>519</v>
      </c>
      <c r="E31" s="105">
        <f>VLOOKUP(D31,Lookups!$A$2:$B$8,2,FALSE)</f>
        <v>0</v>
      </c>
      <c r="F31" s="157"/>
      <c r="G31" s="149"/>
      <c r="H31" s="10"/>
      <c r="I31" s="41"/>
      <c r="J31" s="66"/>
      <c r="K31" s="66"/>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row>
    <row r="32" spans="1:53" s="4" customFormat="1" ht="40.15" customHeight="1">
      <c r="A32" s="26" t="s">
        <v>10</v>
      </c>
      <c r="B32" s="65">
        <v>16</v>
      </c>
      <c r="C32" s="81" t="s">
        <v>734</v>
      </c>
      <c r="D32" s="67" t="s">
        <v>519</v>
      </c>
      <c r="E32" s="105">
        <f>VLOOKUP(D32,Lookups!$A$2:$B$8,2,FALSE)</f>
        <v>0</v>
      </c>
      <c r="F32" s="157"/>
      <c r="G32" s="149"/>
      <c r="H32" s="10"/>
      <c r="I32" s="41"/>
      <c r="J32" s="66"/>
      <c r="K32" s="66"/>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row>
    <row r="33" spans="1:53" s="4" customFormat="1" ht="40.15" customHeight="1">
      <c r="A33" s="26" t="s">
        <v>11</v>
      </c>
      <c r="B33" s="65">
        <v>17</v>
      </c>
      <c r="C33" s="82" t="s">
        <v>719</v>
      </c>
      <c r="D33" s="67" t="s">
        <v>519</v>
      </c>
      <c r="E33" s="105">
        <f>VLOOKUP(D33,Lookups!$A$2:$B$8,2,FALSE)</f>
        <v>0</v>
      </c>
      <c r="F33" s="157"/>
      <c r="G33" s="149"/>
      <c r="H33" s="10"/>
      <c r="I33" s="41"/>
      <c r="J33" s="66"/>
      <c r="K33" s="66"/>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row>
    <row r="34" spans="1:53" s="4" customFormat="1" ht="40.15" customHeight="1">
      <c r="A34" s="25"/>
      <c r="B34" s="65"/>
      <c r="C34" s="166" t="s">
        <v>593</v>
      </c>
      <c r="D34" s="101" t="s">
        <v>567</v>
      </c>
      <c r="E34" s="185">
        <f>IFERROR(AVERAGE(E35:E36),"")</f>
        <v>0</v>
      </c>
      <c r="F34" s="186"/>
      <c r="G34" s="187"/>
      <c r="H34" s="10"/>
      <c r="I34" s="41"/>
      <c r="J34" s="127"/>
      <c r="K34" s="127"/>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row>
    <row r="35" spans="1:53" s="4" customFormat="1" ht="40.15" customHeight="1">
      <c r="A35" s="26" t="s">
        <v>12</v>
      </c>
      <c r="B35" s="65">
        <v>18</v>
      </c>
      <c r="C35" s="158" t="s">
        <v>88</v>
      </c>
      <c r="D35" s="67" t="s">
        <v>519</v>
      </c>
      <c r="E35" s="105">
        <f>VLOOKUP(D35,Lookups!$A$2:$B$8,2,FALSE)</f>
        <v>0</v>
      </c>
      <c r="F35" s="157"/>
      <c r="G35" s="149"/>
      <c r="H35" s="10"/>
      <c r="I35" s="41"/>
      <c r="J35" s="66"/>
      <c r="K35" s="66"/>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row>
    <row r="36" spans="1:53" s="4" customFormat="1" ht="40.15" customHeight="1">
      <c r="A36" s="26" t="s">
        <v>13</v>
      </c>
      <c r="B36" s="65">
        <v>19</v>
      </c>
      <c r="C36" s="78" t="s">
        <v>498</v>
      </c>
      <c r="D36" s="67" t="s">
        <v>519</v>
      </c>
      <c r="E36" s="105">
        <f>VLOOKUP(D36,Lookups!$A$2:$B$8,2,FALSE)</f>
        <v>0</v>
      </c>
      <c r="F36" s="157"/>
      <c r="G36" s="149"/>
      <c r="H36" s="10"/>
      <c r="I36" s="41"/>
      <c r="J36" s="66"/>
      <c r="K36" s="66"/>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row>
    <row r="37" spans="1:53" s="4" customFormat="1" ht="40.15" customHeight="1">
      <c r="A37" s="25"/>
      <c r="B37" s="65">
        <v>20</v>
      </c>
      <c r="C37" s="166" t="s">
        <v>594</v>
      </c>
      <c r="D37" s="101" t="s">
        <v>568</v>
      </c>
      <c r="E37" s="185">
        <f>IFERROR(AVERAGE(E38:E42),"")</f>
        <v>0</v>
      </c>
      <c r="F37" s="186"/>
      <c r="G37" s="187"/>
      <c r="H37" s="10"/>
      <c r="I37" s="41"/>
      <c r="J37" s="127"/>
      <c r="K37" s="127"/>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row>
    <row r="38" spans="1:53" s="4" customFormat="1" ht="40.15" customHeight="1">
      <c r="A38" s="26" t="s">
        <v>42</v>
      </c>
      <c r="B38" s="65">
        <v>21</v>
      </c>
      <c r="C38" s="81" t="s">
        <v>534</v>
      </c>
      <c r="D38" s="67" t="s">
        <v>519</v>
      </c>
      <c r="E38" s="105">
        <f>VLOOKUP(D38,Lookups!$A$2:$B$8,2,FALSE)</f>
        <v>0</v>
      </c>
      <c r="F38" s="157"/>
      <c r="G38" s="149"/>
      <c r="H38" s="10"/>
      <c r="I38" s="41"/>
      <c r="J38" s="66"/>
      <c r="K38" s="66"/>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row>
    <row r="39" spans="1:53" s="4" customFormat="1" ht="40.15" customHeight="1">
      <c r="A39" s="26" t="s">
        <v>43</v>
      </c>
      <c r="B39" s="65">
        <v>22</v>
      </c>
      <c r="C39" s="82" t="s">
        <v>520</v>
      </c>
      <c r="D39" s="67" t="s">
        <v>519</v>
      </c>
      <c r="E39" s="105">
        <f>VLOOKUP(D39,Lookups!$A$2:$B$8,2,FALSE)</f>
        <v>0</v>
      </c>
      <c r="F39" s="157"/>
      <c r="G39" s="149"/>
      <c r="H39" s="10"/>
      <c r="I39" s="41"/>
      <c r="J39" s="66"/>
      <c r="K39" s="66"/>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row>
    <row r="40" spans="1:53" s="4" customFormat="1" ht="40.15" customHeight="1">
      <c r="A40" s="46"/>
      <c r="B40" s="65">
        <v>23</v>
      </c>
      <c r="C40" s="82" t="s">
        <v>499</v>
      </c>
      <c r="D40" s="67" t="s">
        <v>519</v>
      </c>
      <c r="E40" s="105">
        <f>VLOOKUP(D40,Lookups!$A$2:$B$8,2,FALSE)</f>
        <v>0</v>
      </c>
      <c r="F40" s="157"/>
      <c r="G40" s="149"/>
      <c r="H40" s="10"/>
      <c r="I40" s="41"/>
      <c r="J40" s="66"/>
      <c r="K40" s="66"/>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row>
    <row r="41" spans="1:53" s="4" customFormat="1" ht="40.15" customHeight="1">
      <c r="A41" s="26" t="s">
        <v>14</v>
      </c>
      <c r="B41" s="65">
        <v>24</v>
      </c>
      <c r="C41" s="77" t="s">
        <v>322</v>
      </c>
      <c r="D41" s="67" t="s">
        <v>519</v>
      </c>
      <c r="E41" s="105">
        <f>VLOOKUP(D41,Lookups!$A$2:$B$8,2,FALSE)</f>
        <v>0</v>
      </c>
      <c r="F41" s="157"/>
      <c r="G41" s="149"/>
      <c r="H41" s="10"/>
      <c r="I41" s="41"/>
      <c r="J41" s="66"/>
      <c r="K41" s="66"/>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row>
    <row r="42" spans="1:53" s="4" customFormat="1" ht="40.15" customHeight="1">
      <c r="A42" s="26" t="s">
        <v>15</v>
      </c>
      <c r="B42" s="65">
        <v>25</v>
      </c>
      <c r="C42" s="83" t="s">
        <v>703</v>
      </c>
      <c r="D42" s="67" t="s">
        <v>519</v>
      </c>
      <c r="E42" s="105">
        <f>VLOOKUP(D42,Lookups!$A$2:$B$8,2,FALSE)</f>
        <v>0</v>
      </c>
      <c r="F42" s="157"/>
      <c r="G42" s="149"/>
      <c r="H42" s="10"/>
      <c r="I42" s="41"/>
      <c r="J42" s="66"/>
      <c r="K42" s="66"/>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row>
    <row r="43" spans="1:53" s="4" customFormat="1" ht="40.15" customHeight="1">
      <c r="A43" s="25"/>
      <c r="B43" s="65"/>
      <c r="C43" s="166" t="s">
        <v>595</v>
      </c>
      <c r="D43" s="101" t="s">
        <v>569</v>
      </c>
      <c r="E43" s="185">
        <f>IFERROR(AVERAGE(E44:E50),"")</f>
        <v>0</v>
      </c>
      <c r="F43" s="186"/>
      <c r="G43" s="187"/>
      <c r="H43" s="10"/>
      <c r="I43" s="41"/>
      <c r="J43" s="127"/>
      <c r="K43" s="127"/>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row>
    <row r="44" spans="1:53" s="4" customFormat="1" ht="40.15" customHeight="1">
      <c r="A44" s="26" t="s">
        <v>16</v>
      </c>
      <c r="B44" s="65">
        <v>26</v>
      </c>
      <c r="C44" s="78" t="s">
        <v>704</v>
      </c>
      <c r="D44" s="67" t="s">
        <v>519</v>
      </c>
      <c r="E44" s="105">
        <f>VLOOKUP(D44,Lookups!$A$2:$B$8,2,FALSE)</f>
        <v>0</v>
      </c>
      <c r="F44" s="157"/>
      <c r="G44" s="149"/>
      <c r="H44" s="10"/>
      <c r="I44" s="41"/>
      <c r="J44" s="66"/>
      <c r="K44" s="66"/>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row>
    <row r="45" spans="1:53" s="4" customFormat="1" ht="40.15" customHeight="1">
      <c r="A45" s="26" t="s">
        <v>52</v>
      </c>
      <c r="B45" s="65">
        <v>27</v>
      </c>
      <c r="C45" s="78" t="s">
        <v>705</v>
      </c>
      <c r="D45" s="67" t="s">
        <v>519</v>
      </c>
      <c r="E45" s="105">
        <f>VLOOKUP(D45,Lookups!$A$2:$B$8,2,FALSE)</f>
        <v>0</v>
      </c>
      <c r="F45" s="157"/>
      <c r="G45" s="149"/>
      <c r="H45" s="10"/>
      <c r="I45" s="41"/>
      <c r="J45" s="66"/>
      <c r="K45" s="66"/>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row>
    <row r="46" spans="1:53" s="4" customFormat="1" ht="40.15" customHeight="1">
      <c r="A46" s="26" t="s">
        <v>53</v>
      </c>
      <c r="B46" s="65">
        <v>28</v>
      </c>
      <c r="C46" s="78" t="s">
        <v>98</v>
      </c>
      <c r="D46" s="67" t="s">
        <v>519</v>
      </c>
      <c r="E46" s="105">
        <f>VLOOKUP(D46,Lookups!$A$2:$B$8,2,FALSE)</f>
        <v>0</v>
      </c>
      <c r="F46" s="157"/>
      <c r="G46" s="149"/>
      <c r="H46" s="10"/>
      <c r="I46" s="41"/>
      <c r="J46" s="66"/>
      <c r="K46" s="66"/>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row>
    <row r="47" spans="1:53" s="4" customFormat="1" ht="40.15" customHeight="1">
      <c r="A47" s="26" t="s">
        <v>17</v>
      </c>
      <c r="B47" s="65">
        <v>29</v>
      </c>
      <c r="C47" s="78" t="s">
        <v>521</v>
      </c>
      <c r="D47" s="67" t="s">
        <v>519</v>
      </c>
      <c r="E47" s="105">
        <f>VLOOKUP(D47,Lookups!$A$2:$B$8,2,FALSE)</f>
        <v>0</v>
      </c>
      <c r="F47" s="157"/>
      <c r="G47" s="149"/>
      <c r="H47" s="10"/>
      <c r="I47" s="41"/>
      <c r="J47" s="41"/>
      <c r="K47" s="66"/>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row>
    <row r="48" spans="1:53" s="4" customFormat="1" ht="40.15" hidden="1" customHeight="1">
      <c r="A48" s="29" t="s">
        <v>18</v>
      </c>
      <c r="B48" s="93"/>
      <c r="C48" s="78" t="s">
        <v>101</v>
      </c>
      <c r="D48" s="67" t="s">
        <v>519</v>
      </c>
      <c r="E48" s="105">
        <f>VLOOKUP(D48,Lookups!$A$2:$B$8,2,FALSE)</f>
        <v>0</v>
      </c>
      <c r="F48" s="157"/>
      <c r="G48" s="149"/>
      <c r="H48" s="10"/>
      <c r="I48" s="41"/>
      <c r="J48" s="66"/>
      <c r="K48" s="66"/>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row>
    <row r="49" spans="1:53" s="4" customFormat="1" ht="40.15" customHeight="1">
      <c r="A49" s="26" t="s">
        <v>19</v>
      </c>
      <c r="B49" s="65">
        <v>30</v>
      </c>
      <c r="C49" s="84" t="s">
        <v>535</v>
      </c>
      <c r="D49" s="67" t="s">
        <v>519</v>
      </c>
      <c r="E49" s="105">
        <f>VLOOKUP(D49,Lookups!$A$2:$B$8,2,FALSE)</f>
        <v>0</v>
      </c>
      <c r="F49" s="157"/>
      <c r="G49" s="149"/>
      <c r="H49" s="10"/>
      <c r="I49" s="41"/>
      <c r="J49" s="66"/>
      <c r="K49" s="66"/>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row>
    <row r="50" spans="1:53" s="4" customFormat="1" ht="40.15" customHeight="1">
      <c r="A50" s="26" t="s">
        <v>83</v>
      </c>
      <c r="B50" s="65">
        <v>31</v>
      </c>
      <c r="C50" s="84" t="s">
        <v>728</v>
      </c>
      <c r="D50" s="67" t="s">
        <v>519</v>
      </c>
      <c r="E50" s="105">
        <f>VLOOKUP(D50,Lookups!$A$2:$B$8,2,FALSE)</f>
        <v>0</v>
      </c>
      <c r="F50" s="157"/>
      <c r="G50" s="149"/>
      <c r="H50" s="10"/>
      <c r="I50" s="41"/>
      <c r="J50" s="66"/>
      <c r="K50" s="66"/>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row>
    <row r="51" spans="1:53" s="4" customFormat="1" ht="40.15" customHeight="1">
      <c r="A51" s="25"/>
      <c r="B51" s="65"/>
      <c r="C51" s="166" t="s">
        <v>596</v>
      </c>
      <c r="D51" s="101" t="s">
        <v>570</v>
      </c>
      <c r="E51" s="185">
        <f>IFERROR(AVERAGE(E52:E80),"")</f>
        <v>0</v>
      </c>
      <c r="F51" s="186"/>
      <c r="G51" s="187"/>
      <c r="H51" s="10"/>
      <c r="I51" s="41"/>
      <c r="J51" s="127"/>
      <c r="K51" s="127"/>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row>
    <row r="52" spans="1:53" s="4" customFormat="1" ht="40.15" customHeight="1">
      <c r="A52" s="26" t="s">
        <v>54</v>
      </c>
      <c r="B52" s="65">
        <v>32</v>
      </c>
      <c r="C52" s="85" t="s">
        <v>99</v>
      </c>
      <c r="D52" s="67" t="s">
        <v>519</v>
      </c>
      <c r="E52" s="105">
        <f>VLOOKUP(D52,Lookups!$A$2:$B$8,2,FALSE)</f>
        <v>0</v>
      </c>
      <c r="F52" s="157"/>
      <c r="G52" s="149"/>
      <c r="H52" s="10"/>
      <c r="I52" s="41"/>
      <c r="J52" s="66"/>
      <c r="K52" s="66"/>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row>
    <row r="53" spans="1:53" s="4" customFormat="1" ht="40.15" customHeight="1">
      <c r="A53" s="26" t="s">
        <v>55</v>
      </c>
      <c r="B53" s="65">
        <v>33</v>
      </c>
      <c r="C53" s="85" t="s">
        <v>500</v>
      </c>
      <c r="D53" s="67" t="s">
        <v>519</v>
      </c>
      <c r="E53" s="105">
        <f>VLOOKUP(D53,Lookups!$A$2:$B$8,2,FALSE)</f>
        <v>0</v>
      </c>
      <c r="F53" s="157"/>
      <c r="G53" s="149"/>
      <c r="H53" s="10"/>
      <c r="I53" s="41"/>
      <c r="J53" s="66"/>
      <c r="K53" s="66"/>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row>
    <row r="54" spans="1:53" s="4" customFormat="1" ht="40.15" customHeight="1">
      <c r="A54" s="26" t="s">
        <v>56</v>
      </c>
      <c r="B54" s="65">
        <v>34</v>
      </c>
      <c r="C54" s="86" t="s">
        <v>91</v>
      </c>
      <c r="D54" s="67" t="s">
        <v>519</v>
      </c>
      <c r="E54" s="105">
        <f>VLOOKUP(D54,Lookups!$A$2:$B$8,2,FALSE)</f>
        <v>0</v>
      </c>
      <c r="F54" s="157"/>
      <c r="G54" s="149"/>
      <c r="H54" s="10"/>
      <c r="I54" s="41"/>
      <c r="J54" s="66"/>
      <c r="K54" s="66"/>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row>
    <row r="55" spans="1:53" s="4" customFormat="1" ht="40.15" customHeight="1">
      <c r="A55" s="26" t="s">
        <v>20</v>
      </c>
      <c r="B55" s="65">
        <v>35</v>
      </c>
      <c r="C55" s="158" t="s">
        <v>94</v>
      </c>
      <c r="D55" s="67" t="s">
        <v>519</v>
      </c>
      <c r="E55" s="105">
        <f>VLOOKUP(D55,Lookups!$A$2:$B$8,2,FALSE)</f>
        <v>0</v>
      </c>
      <c r="F55" s="157"/>
      <c r="G55" s="149"/>
      <c r="H55" s="10"/>
      <c r="I55" s="41"/>
      <c r="J55" s="66"/>
      <c r="K55" s="66"/>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row>
    <row r="56" spans="1:53" s="4" customFormat="1" ht="40.15" customHeight="1">
      <c r="A56" s="24" t="s">
        <v>21</v>
      </c>
      <c r="B56" s="65">
        <v>36</v>
      </c>
      <c r="C56" s="86" t="s">
        <v>323</v>
      </c>
      <c r="D56" s="67" t="s">
        <v>519</v>
      </c>
      <c r="E56" s="105">
        <f>VLOOKUP(D56,Lookups!$A$2:$B$8,2,FALSE)</f>
        <v>0</v>
      </c>
      <c r="F56" s="157"/>
      <c r="G56" s="149"/>
      <c r="H56" s="10"/>
      <c r="I56" s="41"/>
      <c r="J56" s="66"/>
      <c r="K56" s="66"/>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row>
    <row r="57" spans="1:53" s="4" customFormat="1" ht="40.15" customHeight="1">
      <c r="A57" s="24" t="s">
        <v>507</v>
      </c>
      <c r="B57" s="65">
        <v>37</v>
      </c>
      <c r="C57" s="82" t="s">
        <v>505</v>
      </c>
      <c r="D57" s="67" t="s">
        <v>519</v>
      </c>
      <c r="E57" s="105">
        <f>VLOOKUP(D57,Lookups!$A$2:$B$8,2,FALSE)</f>
        <v>0</v>
      </c>
      <c r="F57" s="157"/>
      <c r="G57" s="149"/>
      <c r="H57" s="10"/>
      <c r="I57" s="41"/>
      <c r="J57" s="66"/>
      <c r="K57" s="66"/>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row>
    <row r="58" spans="1:53" s="4" customFormat="1" ht="40.15" customHeight="1">
      <c r="A58" s="23"/>
      <c r="B58" s="65">
        <v>38</v>
      </c>
      <c r="C58" s="158" t="s">
        <v>324</v>
      </c>
      <c r="D58" s="67" t="s">
        <v>519</v>
      </c>
      <c r="E58" s="105">
        <f>VLOOKUP(D58,Lookups!$A$2:$B$8,2,FALSE)</f>
        <v>0</v>
      </c>
      <c r="F58" s="157"/>
      <c r="G58" s="149"/>
      <c r="H58" s="10"/>
      <c r="I58" s="41"/>
      <c r="J58" s="66"/>
      <c r="K58" s="66"/>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row>
    <row r="59" spans="1:53" s="4" customFormat="1" ht="40.15" customHeight="1">
      <c r="A59" s="23"/>
      <c r="B59" s="65">
        <v>39</v>
      </c>
      <c r="C59" s="158" t="s">
        <v>325</v>
      </c>
      <c r="D59" s="67" t="s">
        <v>519</v>
      </c>
      <c r="E59" s="105">
        <f>VLOOKUP(D59,Lookups!$A$2:$B$8,2,FALSE)</f>
        <v>0</v>
      </c>
      <c r="F59" s="157"/>
      <c r="G59" s="149"/>
      <c r="H59" s="10"/>
      <c r="I59" s="41"/>
      <c r="J59" s="66"/>
      <c r="K59" s="66"/>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row>
    <row r="60" spans="1:53" s="4" customFormat="1" ht="40.15" customHeight="1">
      <c r="A60" s="26" t="s">
        <v>22</v>
      </c>
      <c r="B60" s="65">
        <v>40</v>
      </c>
      <c r="C60" s="86" t="s">
        <v>100</v>
      </c>
      <c r="D60" s="67" t="s">
        <v>519</v>
      </c>
      <c r="E60" s="105">
        <f>VLOOKUP(D60,Lookups!$A$2:$B$8,2,FALSE)</f>
        <v>0</v>
      </c>
      <c r="F60" s="157"/>
      <c r="G60" s="149"/>
      <c r="H60" s="10"/>
      <c r="I60" s="41"/>
      <c r="J60" s="66"/>
      <c r="K60" s="66"/>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row>
    <row r="61" spans="1:53" s="4" customFormat="1" ht="40.15" customHeight="1">
      <c r="A61" s="26" t="s">
        <v>23</v>
      </c>
      <c r="B61" s="65">
        <v>41</v>
      </c>
      <c r="C61" s="85" t="s">
        <v>506</v>
      </c>
      <c r="D61" s="67" t="s">
        <v>519</v>
      </c>
      <c r="E61" s="105">
        <f>VLOOKUP(D61,Lookups!$A$2:$B$8,2,FALSE)</f>
        <v>0</v>
      </c>
      <c r="F61" s="157"/>
      <c r="G61" s="149"/>
      <c r="H61" s="10"/>
      <c r="I61" s="41"/>
      <c r="J61" s="66"/>
      <c r="K61" s="66"/>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row>
    <row r="62" spans="1:53" s="6" customFormat="1" ht="40.15" customHeight="1">
      <c r="A62" s="47"/>
      <c r="B62" s="65">
        <v>42</v>
      </c>
      <c r="C62" s="158" t="s">
        <v>522</v>
      </c>
      <c r="D62" s="67" t="s">
        <v>519</v>
      </c>
      <c r="E62" s="105">
        <f>VLOOKUP(D62,Lookups!$A$2:$B$8,2,FALSE)</f>
        <v>0</v>
      </c>
      <c r="F62" s="157"/>
      <c r="G62" s="148"/>
      <c r="H62" s="19"/>
      <c r="I62" s="41"/>
      <c r="J62" s="66"/>
      <c r="K62" s="66"/>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row>
    <row r="63" spans="1:53" s="4" customFormat="1" ht="40.15" customHeight="1">
      <c r="A63" s="26" t="s">
        <v>24</v>
      </c>
      <c r="B63" s="65">
        <v>43</v>
      </c>
      <c r="C63" s="85" t="s">
        <v>536</v>
      </c>
      <c r="D63" s="67" t="s">
        <v>519</v>
      </c>
      <c r="E63" s="105">
        <f>VLOOKUP(D63,Lookups!$A$2:$B$8,2,FALSE)</f>
        <v>0</v>
      </c>
      <c r="F63" s="157"/>
      <c r="G63" s="149"/>
      <c r="H63" s="10"/>
      <c r="I63" s="41"/>
      <c r="J63" s="66"/>
      <c r="K63" s="66"/>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row>
    <row r="64" spans="1:53" s="4" customFormat="1" ht="40.15" customHeight="1">
      <c r="A64" s="23"/>
      <c r="B64" s="65">
        <v>44</v>
      </c>
      <c r="C64" s="77" t="s">
        <v>326</v>
      </c>
      <c r="D64" s="67" t="s">
        <v>519</v>
      </c>
      <c r="E64" s="105">
        <f>VLOOKUP(D64,Lookups!$A$2:$B$8,2,FALSE)</f>
        <v>0</v>
      </c>
      <c r="F64" s="157"/>
      <c r="G64" s="149"/>
      <c r="H64" s="10"/>
      <c r="I64" s="41"/>
      <c r="J64" s="66"/>
      <c r="K64" s="66"/>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row>
    <row r="65" spans="1:53" s="4" customFormat="1" ht="40.15" customHeight="1">
      <c r="A65" s="26" t="s">
        <v>25</v>
      </c>
      <c r="B65" s="65">
        <v>45</v>
      </c>
      <c r="C65" s="86" t="s">
        <v>327</v>
      </c>
      <c r="D65" s="67" t="s">
        <v>519</v>
      </c>
      <c r="E65" s="105">
        <f>VLOOKUP(D65,Lookups!$A$2:$B$8,2,FALSE)</f>
        <v>0</v>
      </c>
      <c r="F65" s="157"/>
      <c r="G65" s="149"/>
      <c r="H65" s="10"/>
      <c r="I65" s="41"/>
      <c r="J65" s="66"/>
      <c r="K65" s="66"/>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row>
    <row r="66" spans="1:53" s="6" customFormat="1" ht="40.15" customHeight="1">
      <c r="A66" s="47"/>
      <c r="B66" s="65">
        <v>46</v>
      </c>
      <c r="C66" s="80" t="s">
        <v>731</v>
      </c>
      <c r="D66" s="67" t="s">
        <v>519</v>
      </c>
      <c r="E66" s="105">
        <f>VLOOKUP(D66,Lookups!$A$2:$B$8,2,FALSE)</f>
        <v>0</v>
      </c>
      <c r="F66" s="157"/>
      <c r="G66" s="148"/>
      <c r="H66" s="19"/>
      <c r="I66" s="41"/>
      <c r="J66" s="66"/>
      <c r="K66" s="66"/>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row>
    <row r="67" spans="1:53" s="6" customFormat="1" ht="40.15" customHeight="1">
      <c r="A67" s="47"/>
      <c r="B67" s="65">
        <v>47</v>
      </c>
      <c r="C67" s="158" t="s">
        <v>328</v>
      </c>
      <c r="D67" s="67" t="s">
        <v>519</v>
      </c>
      <c r="E67" s="105">
        <f>VLOOKUP(D67,Lookups!$A$2:$B$8,2,FALSE)</f>
        <v>0</v>
      </c>
      <c r="F67" s="157"/>
      <c r="G67" s="148"/>
      <c r="H67" s="19"/>
      <c r="I67" s="41"/>
      <c r="J67" s="66"/>
      <c r="K67" s="66"/>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row>
    <row r="68" spans="1:53" s="6" customFormat="1" ht="40.15" customHeight="1">
      <c r="A68" s="47"/>
      <c r="B68" s="65">
        <v>48</v>
      </c>
      <c r="C68" s="158" t="s">
        <v>329</v>
      </c>
      <c r="D68" s="67" t="s">
        <v>519</v>
      </c>
      <c r="E68" s="105">
        <f>VLOOKUP(D68,Lookups!$A$2:$B$8,2,FALSE)</f>
        <v>0</v>
      </c>
      <c r="F68" s="157"/>
      <c r="G68" s="148"/>
      <c r="H68" s="19"/>
      <c r="I68" s="41"/>
      <c r="J68" s="66"/>
      <c r="K68" s="66"/>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row>
    <row r="69" spans="1:53" s="6" customFormat="1" ht="40.15" customHeight="1">
      <c r="A69" s="47"/>
      <c r="B69" s="65">
        <v>49</v>
      </c>
      <c r="C69" s="158" t="s">
        <v>537</v>
      </c>
      <c r="D69" s="67" t="s">
        <v>519</v>
      </c>
      <c r="E69" s="105">
        <f>VLOOKUP(D69,Lookups!$A$2:$B$8,2,FALSE)</f>
        <v>0</v>
      </c>
      <c r="F69" s="157"/>
      <c r="G69" s="148"/>
      <c r="H69" s="19"/>
      <c r="I69" s="41"/>
      <c r="J69" s="66"/>
      <c r="K69" s="66"/>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row>
    <row r="70" spans="1:53" s="6" customFormat="1" ht="40.15" customHeight="1">
      <c r="A70" s="24" t="s">
        <v>26</v>
      </c>
      <c r="B70" s="65">
        <v>50</v>
      </c>
      <c r="C70" s="86" t="s">
        <v>95</v>
      </c>
      <c r="D70" s="67" t="s">
        <v>519</v>
      </c>
      <c r="E70" s="105">
        <f>VLOOKUP(D70,Lookups!$A$2:$B$8,2,FALSE)</f>
        <v>0</v>
      </c>
      <c r="F70" s="157"/>
      <c r="G70" s="148"/>
      <c r="H70" s="19"/>
      <c r="I70" s="41"/>
      <c r="J70" s="66"/>
      <c r="K70" s="66"/>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row>
    <row r="71" spans="1:53" s="6" customFormat="1" ht="40.15" customHeight="1">
      <c r="A71" s="24" t="s">
        <v>61</v>
      </c>
      <c r="B71" s="65">
        <v>51</v>
      </c>
      <c r="C71" s="158" t="s">
        <v>523</v>
      </c>
      <c r="D71" s="67" t="s">
        <v>519</v>
      </c>
      <c r="E71" s="105">
        <f>VLOOKUP(D71,Lookups!$A$2:$B$8,2,FALSE)</f>
        <v>0</v>
      </c>
      <c r="F71" s="157"/>
      <c r="G71" s="148"/>
      <c r="H71" s="19"/>
      <c r="I71" s="41"/>
      <c r="J71" s="66"/>
      <c r="K71" s="66"/>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row>
    <row r="72" spans="1:53" s="4" customFormat="1" ht="40.15" customHeight="1">
      <c r="A72" s="24" t="s">
        <v>27</v>
      </c>
      <c r="B72" s="65">
        <v>52</v>
      </c>
      <c r="C72" s="86" t="s">
        <v>693</v>
      </c>
      <c r="D72" s="67" t="s">
        <v>519</v>
      </c>
      <c r="E72" s="105">
        <f>VLOOKUP(D72,Lookups!$A$2:$B$8,2,FALSE)</f>
        <v>0</v>
      </c>
      <c r="F72" s="157"/>
      <c r="G72" s="149"/>
      <c r="H72" s="10"/>
      <c r="I72" s="41"/>
      <c r="J72" s="66"/>
      <c r="K72" s="66"/>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row>
    <row r="73" spans="1:53" s="4" customFormat="1" ht="40.15" customHeight="1">
      <c r="A73" s="24" t="s">
        <v>28</v>
      </c>
      <c r="B73" s="65">
        <v>53</v>
      </c>
      <c r="C73" s="85" t="s">
        <v>86</v>
      </c>
      <c r="D73" s="67" t="s">
        <v>519</v>
      </c>
      <c r="E73" s="105">
        <f>VLOOKUP(D73,Lookups!$A$2:$B$8,2,FALSE)</f>
        <v>0</v>
      </c>
      <c r="F73" s="157"/>
      <c r="G73" s="149"/>
      <c r="H73" s="10"/>
      <c r="I73" s="41"/>
      <c r="J73" s="66"/>
      <c r="K73" s="66"/>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row>
    <row r="74" spans="1:53" s="4" customFormat="1" ht="40.15" customHeight="1">
      <c r="A74" s="24" t="s">
        <v>29</v>
      </c>
      <c r="B74" s="65">
        <v>54</v>
      </c>
      <c r="C74" s="85" t="s">
        <v>538</v>
      </c>
      <c r="D74" s="67" t="s">
        <v>519</v>
      </c>
      <c r="E74" s="105">
        <f>VLOOKUP(D74,Lookups!$A$2:$B$8,2,FALSE)</f>
        <v>0</v>
      </c>
      <c r="F74" s="157"/>
      <c r="G74" s="147"/>
      <c r="H74" s="10"/>
      <c r="I74" s="41"/>
      <c r="J74" s="66"/>
      <c r="K74" s="66"/>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row>
    <row r="75" spans="1:53" s="4" customFormat="1" ht="40.15" customHeight="1">
      <c r="A75" s="48"/>
      <c r="B75" s="65">
        <v>55</v>
      </c>
      <c r="C75" s="87" t="s">
        <v>330</v>
      </c>
      <c r="D75" s="67" t="s">
        <v>519</v>
      </c>
      <c r="E75" s="105">
        <f>VLOOKUP(D75,Lookups!$A$2:$B$8,2,FALSE)</f>
        <v>0</v>
      </c>
      <c r="F75" s="157"/>
      <c r="G75" s="149"/>
      <c r="H75" s="10"/>
      <c r="I75" s="41"/>
      <c r="J75" s="66"/>
      <c r="K75" s="66"/>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row>
    <row r="76" spans="1:53" s="4" customFormat="1" ht="40.15" customHeight="1">
      <c r="A76" s="48"/>
      <c r="B76" s="65">
        <v>56</v>
      </c>
      <c r="C76" s="87" t="s">
        <v>539</v>
      </c>
      <c r="D76" s="67" t="s">
        <v>519</v>
      </c>
      <c r="E76" s="105">
        <f>VLOOKUP(D76,Lookups!$A$2:$B$8,2,FALSE)</f>
        <v>0</v>
      </c>
      <c r="F76" s="157"/>
      <c r="G76" s="149"/>
      <c r="H76" s="10"/>
      <c r="I76" s="41"/>
      <c r="J76" s="66"/>
      <c r="K76" s="66"/>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row>
    <row r="77" spans="1:53" s="4" customFormat="1" ht="40.15" customHeight="1">
      <c r="A77" s="24" t="s">
        <v>30</v>
      </c>
      <c r="B77" s="65">
        <v>57</v>
      </c>
      <c r="C77" s="85" t="s">
        <v>102</v>
      </c>
      <c r="D77" s="67" t="s">
        <v>519</v>
      </c>
      <c r="E77" s="105">
        <f>VLOOKUP(D77,Lookups!$A$2:$B$8,2,FALSE)</f>
        <v>0</v>
      </c>
      <c r="F77" s="157"/>
      <c r="G77" s="149"/>
      <c r="H77" s="10"/>
      <c r="I77" s="41"/>
      <c r="J77" s="66"/>
      <c r="K77" s="66"/>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row>
    <row r="78" spans="1:53" s="4" customFormat="1" ht="40.15" customHeight="1">
      <c r="A78" s="24" t="s">
        <v>31</v>
      </c>
      <c r="B78" s="65">
        <v>58</v>
      </c>
      <c r="C78" s="85" t="s">
        <v>525</v>
      </c>
      <c r="D78" s="67" t="s">
        <v>519</v>
      </c>
      <c r="E78" s="105">
        <f>VLOOKUP(D78,Lookups!$A$2:$B$8,2,FALSE)</f>
        <v>0</v>
      </c>
      <c r="F78" s="157"/>
      <c r="G78" s="149"/>
      <c r="H78" s="10"/>
      <c r="I78" s="41"/>
      <c r="J78" s="66"/>
      <c r="K78" s="66"/>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row>
    <row r="79" spans="1:53" s="4" customFormat="1" ht="40.15" customHeight="1">
      <c r="A79" s="24" t="s">
        <v>32</v>
      </c>
      <c r="B79" s="65">
        <v>59</v>
      </c>
      <c r="C79" s="158" t="s">
        <v>738</v>
      </c>
      <c r="D79" s="67" t="s">
        <v>519</v>
      </c>
      <c r="E79" s="105">
        <f>VLOOKUP(D79,Lookups!$A$2:$B$8,2,FALSE)</f>
        <v>0</v>
      </c>
      <c r="F79" s="157"/>
      <c r="G79" s="149"/>
      <c r="H79" s="10"/>
      <c r="I79" s="41"/>
      <c r="J79" s="66"/>
      <c r="K79" s="66"/>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row>
    <row r="80" spans="1:53" s="4" customFormat="1" ht="40.15" customHeight="1">
      <c r="A80" s="25"/>
      <c r="B80" s="10"/>
      <c r="C80" s="166" t="s">
        <v>597</v>
      </c>
      <c r="D80" s="101" t="s">
        <v>571</v>
      </c>
      <c r="E80" s="185">
        <f>IFERROR(AVERAGE(E81:E82, E84:E98),"")</f>
        <v>0</v>
      </c>
      <c r="F80" s="186"/>
      <c r="G80" s="187"/>
      <c r="H80" s="10"/>
      <c r="I80" s="41"/>
      <c r="J80" s="127"/>
      <c r="K80" s="127"/>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row>
    <row r="81" spans="1:53" s="6" customFormat="1" ht="40.15" customHeight="1">
      <c r="A81" s="24" t="s">
        <v>68</v>
      </c>
      <c r="B81" s="65">
        <v>60</v>
      </c>
      <c r="C81" s="85" t="s">
        <v>501</v>
      </c>
      <c r="D81" s="67" t="s">
        <v>519</v>
      </c>
      <c r="E81" s="105">
        <f>VLOOKUP(D81,Lookups!$A$2:$B$8,2,FALSE)</f>
        <v>0</v>
      </c>
      <c r="F81" s="157"/>
      <c r="G81" s="147"/>
      <c r="H81" s="19"/>
      <c r="I81" s="41"/>
      <c r="J81" s="66"/>
      <c r="K81" s="66"/>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row>
    <row r="82" spans="1:53" s="4" customFormat="1" ht="40.15" customHeight="1">
      <c r="A82" s="49" t="s">
        <v>69</v>
      </c>
      <c r="B82" s="65">
        <v>61</v>
      </c>
      <c r="C82" s="170" t="s">
        <v>561</v>
      </c>
      <c r="D82" s="67" t="s">
        <v>519</v>
      </c>
      <c r="E82" s="105">
        <f>VLOOKUP(D82,Lookups!$A$2:$B$8,2,FALSE)</f>
        <v>0</v>
      </c>
      <c r="F82" s="157"/>
      <c r="G82" s="147"/>
      <c r="H82" s="10"/>
      <c r="I82" s="41"/>
      <c r="J82" s="127"/>
      <c r="K82" s="127"/>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row>
    <row r="83" spans="1:53" s="4" customFormat="1" ht="40.15" hidden="1" customHeight="1">
      <c r="A83" s="49" t="s">
        <v>503</v>
      </c>
      <c r="B83" s="65">
        <v>6</v>
      </c>
      <c r="C83" s="171"/>
      <c r="D83" s="67" t="s">
        <v>519</v>
      </c>
      <c r="E83" s="105">
        <f>VLOOKUP(D83,Lookups!$A$2:$B$8,2,FALSE)</f>
        <v>0</v>
      </c>
      <c r="F83" s="157"/>
      <c r="G83" s="121"/>
      <c r="H83" s="10"/>
      <c r="I83" s="41"/>
      <c r="J83" s="127"/>
      <c r="K83" s="127"/>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row>
    <row r="84" spans="1:53" s="4" customFormat="1" ht="40.15" customHeight="1">
      <c r="A84" s="49" t="s">
        <v>74</v>
      </c>
      <c r="B84" s="65">
        <v>62</v>
      </c>
      <c r="C84" s="84" t="s">
        <v>116</v>
      </c>
      <c r="D84" s="67" t="s">
        <v>519</v>
      </c>
      <c r="E84" s="105">
        <f>VLOOKUP(D84,Lookups!$A$2:$B$8,2,FALSE)</f>
        <v>0</v>
      </c>
      <c r="F84" s="157"/>
      <c r="G84" s="149"/>
      <c r="H84" s="10"/>
      <c r="I84" s="41"/>
      <c r="J84" s="127"/>
      <c r="K84" s="127"/>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row>
    <row r="85" spans="1:53" s="4" customFormat="1" ht="40.15" customHeight="1">
      <c r="A85" s="26" t="s">
        <v>75</v>
      </c>
      <c r="B85" s="65">
        <v>63</v>
      </c>
      <c r="C85" s="158" t="s">
        <v>695</v>
      </c>
      <c r="D85" s="67" t="s">
        <v>519</v>
      </c>
      <c r="E85" s="105">
        <f>VLOOKUP(D85,Lookups!$A$2:$B$8,2,FALSE)</f>
        <v>0</v>
      </c>
      <c r="F85" s="157"/>
      <c r="G85" s="147"/>
      <c r="H85" s="10"/>
      <c r="I85" s="41"/>
      <c r="J85" s="66"/>
      <c r="K85" s="66"/>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row>
    <row r="86" spans="1:53" s="4" customFormat="1" ht="40.15" customHeight="1">
      <c r="A86" s="26" t="s">
        <v>33</v>
      </c>
      <c r="B86" s="65">
        <v>64</v>
      </c>
      <c r="C86" s="158" t="s">
        <v>504</v>
      </c>
      <c r="D86" s="67" t="s">
        <v>519</v>
      </c>
      <c r="E86" s="105">
        <f>VLOOKUP(D86,Lookups!$A$2:$B$8,2,FALSE)</f>
        <v>0</v>
      </c>
      <c r="F86" s="157"/>
      <c r="G86" s="149"/>
      <c r="H86" s="10"/>
      <c r="I86" s="41"/>
      <c r="J86" s="66"/>
      <c r="K86" s="66"/>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row>
    <row r="87" spans="1:53" s="4" customFormat="1" ht="40.15" customHeight="1">
      <c r="A87" s="26" t="s">
        <v>34</v>
      </c>
      <c r="B87" s="65">
        <v>65</v>
      </c>
      <c r="C87" s="85" t="s">
        <v>524</v>
      </c>
      <c r="D87" s="67" t="s">
        <v>519</v>
      </c>
      <c r="E87" s="105">
        <f>VLOOKUP(D87,Lookups!$A$2:$B$8,2,FALSE)</f>
        <v>0</v>
      </c>
      <c r="F87" s="157"/>
      <c r="G87" s="147"/>
      <c r="H87" s="10"/>
      <c r="I87" s="41"/>
      <c r="J87" s="41"/>
      <c r="K87" s="66"/>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row>
    <row r="88" spans="1:53" s="4" customFormat="1" ht="40.15" customHeight="1">
      <c r="A88" s="26" t="s">
        <v>35</v>
      </c>
      <c r="B88" s="65">
        <v>66</v>
      </c>
      <c r="C88" s="85" t="s">
        <v>103</v>
      </c>
      <c r="D88" s="67" t="s">
        <v>519</v>
      </c>
      <c r="E88" s="105">
        <f>VLOOKUP(D88,Lookups!$A$2:$B$8,2,FALSE)</f>
        <v>0</v>
      </c>
      <c r="F88" s="157"/>
      <c r="G88" s="147"/>
      <c r="H88" s="10"/>
      <c r="I88" s="41"/>
      <c r="J88" s="66"/>
      <c r="K88" s="66"/>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row>
    <row r="89" spans="1:53" s="4" customFormat="1" ht="40.15" customHeight="1">
      <c r="A89" s="26" t="s">
        <v>36</v>
      </c>
      <c r="B89" s="65">
        <v>67</v>
      </c>
      <c r="C89" s="85" t="s">
        <v>732</v>
      </c>
      <c r="D89" s="67" t="s">
        <v>519</v>
      </c>
      <c r="E89" s="105">
        <f>VLOOKUP(D89,Lookups!$A$2:$B$8,2,FALSE)</f>
        <v>0</v>
      </c>
      <c r="F89" s="157"/>
      <c r="G89" s="147"/>
      <c r="H89" s="10"/>
      <c r="I89" s="41"/>
      <c r="J89" s="66"/>
      <c r="K89" s="66"/>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row>
    <row r="90" spans="1:53" s="4" customFormat="1" ht="40.15" customHeight="1">
      <c r="A90" s="26" t="s">
        <v>37</v>
      </c>
      <c r="B90" s="65">
        <v>68</v>
      </c>
      <c r="C90" s="85" t="s">
        <v>104</v>
      </c>
      <c r="D90" s="67" t="s">
        <v>519</v>
      </c>
      <c r="E90" s="105">
        <f>VLOOKUP(D90,Lookups!$A$2:$B$8,2,FALSE)</f>
        <v>0</v>
      </c>
      <c r="F90" s="157"/>
      <c r="G90" s="149" t="s">
        <v>714</v>
      </c>
      <c r="H90" s="10"/>
      <c r="I90" s="41"/>
      <c r="J90" s="66"/>
      <c r="K90" s="66"/>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row>
    <row r="91" spans="1:53" s="4" customFormat="1" ht="40.15" customHeight="1">
      <c r="A91" s="26" t="s">
        <v>38</v>
      </c>
      <c r="B91" s="65">
        <v>69</v>
      </c>
      <c r="C91" s="85" t="s">
        <v>331</v>
      </c>
      <c r="D91" s="67" t="s">
        <v>519</v>
      </c>
      <c r="E91" s="105">
        <f>VLOOKUP(D91,Lookups!$A$2:$B$8,2,FALSE)</f>
        <v>0</v>
      </c>
      <c r="F91" s="157"/>
      <c r="G91" s="147"/>
      <c r="H91" s="10"/>
      <c r="I91" s="41"/>
      <c r="J91" s="66"/>
      <c r="K91" s="66"/>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row>
    <row r="92" spans="1:53" s="4" customFormat="1" ht="40.15" customHeight="1">
      <c r="A92" s="49"/>
      <c r="B92" s="65">
        <v>70</v>
      </c>
      <c r="C92" s="85" t="s">
        <v>727</v>
      </c>
      <c r="D92" s="67" t="s">
        <v>519</v>
      </c>
      <c r="E92" s="105">
        <f>VLOOKUP(D92,Lookups!$A$2:$B$8,2,FALSE)</f>
        <v>0</v>
      </c>
      <c r="F92" s="157"/>
      <c r="G92" s="149" t="s">
        <v>714</v>
      </c>
      <c r="H92" s="10"/>
      <c r="I92" s="41"/>
      <c r="J92" s="41"/>
      <c r="K92" s="66"/>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row>
    <row r="93" spans="1:53" s="4" customFormat="1" ht="40.15" customHeight="1">
      <c r="A93" s="37" t="s">
        <v>39</v>
      </c>
      <c r="B93" s="65">
        <v>71</v>
      </c>
      <c r="C93" s="85" t="s">
        <v>124</v>
      </c>
      <c r="D93" s="67" t="s">
        <v>519</v>
      </c>
      <c r="E93" s="105">
        <f>VLOOKUP(D93,Lookups!$A$2:$B$8,2,FALSE)</f>
        <v>0</v>
      </c>
      <c r="F93" s="157"/>
      <c r="G93" s="150"/>
      <c r="H93" s="10"/>
      <c r="I93" s="41"/>
      <c r="J93" s="66"/>
      <c r="K93" s="66"/>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row>
    <row r="94" spans="1:53" s="4" customFormat="1" ht="40.15" customHeight="1">
      <c r="A94" s="26" t="s">
        <v>40</v>
      </c>
      <c r="B94" s="65">
        <v>72</v>
      </c>
      <c r="C94" s="86" t="s">
        <v>706</v>
      </c>
      <c r="D94" s="67" t="s">
        <v>519</v>
      </c>
      <c r="E94" s="105">
        <f>VLOOKUP(D94,Lookups!$A$2:$B$8,2,FALSE)</f>
        <v>0</v>
      </c>
      <c r="F94" s="157"/>
      <c r="G94" s="149"/>
      <c r="H94" s="10"/>
      <c r="I94" s="41"/>
      <c r="J94" s="66"/>
      <c r="K94" s="66"/>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row>
    <row r="95" spans="1:53" s="4" customFormat="1" ht="40.15" customHeight="1">
      <c r="A95" s="26" t="s">
        <v>41</v>
      </c>
      <c r="B95" s="65">
        <v>73</v>
      </c>
      <c r="C95" s="85" t="s">
        <v>105</v>
      </c>
      <c r="D95" s="67" t="s">
        <v>519</v>
      </c>
      <c r="E95" s="105">
        <f>VLOOKUP(D95,Lookups!$A$2:$B$8,2,FALSE)</f>
        <v>0</v>
      </c>
      <c r="F95" s="157"/>
      <c r="G95" s="147"/>
      <c r="H95" s="10"/>
      <c r="I95" s="41"/>
      <c r="J95" s="66"/>
      <c r="K95" s="66"/>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row>
    <row r="96" spans="1:53" s="4" customFormat="1" ht="40.15" customHeight="1">
      <c r="A96" s="26" t="s">
        <v>77</v>
      </c>
      <c r="B96" s="65">
        <v>74</v>
      </c>
      <c r="C96" s="88" t="s">
        <v>332</v>
      </c>
      <c r="D96" s="67" t="s">
        <v>519</v>
      </c>
      <c r="E96" s="105">
        <f>VLOOKUP(D96,Lookups!$A$2:$B$8,2,FALSE)</f>
        <v>0</v>
      </c>
      <c r="F96" s="157"/>
      <c r="G96" s="147"/>
      <c r="H96" s="10"/>
      <c r="I96" s="41"/>
      <c r="J96" s="66"/>
      <c r="K96" s="66"/>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row>
    <row r="97" spans="1:53" s="4" customFormat="1" ht="40.15" customHeight="1">
      <c r="A97" s="49"/>
      <c r="B97" s="65">
        <v>75</v>
      </c>
      <c r="C97" s="88" t="s">
        <v>333</v>
      </c>
      <c r="D97" s="67" t="s">
        <v>519</v>
      </c>
      <c r="E97" s="105">
        <f>VLOOKUP(D97,Lookups!$A$2:$B$8,2,FALSE)</f>
        <v>0</v>
      </c>
      <c r="F97" s="157"/>
      <c r="G97" s="147"/>
      <c r="H97" s="10"/>
      <c r="I97" s="41"/>
      <c r="J97" s="66"/>
      <c r="K97" s="66"/>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row>
    <row r="98" spans="1:53" s="4" customFormat="1" ht="40.15" customHeight="1">
      <c r="A98" s="26" t="s">
        <v>78</v>
      </c>
      <c r="B98" s="65">
        <v>76</v>
      </c>
      <c r="C98" s="89" t="s">
        <v>707</v>
      </c>
      <c r="D98" s="67" t="s">
        <v>519</v>
      </c>
      <c r="E98" s="105">
        <f>VLOOKUP(D98,Lookups!$A$2:$B$8,2,FALSE)</f>
        <v>0</v>
      </c>
      <c r="F98" s="157"/>
      <c r="G98" s="149"/>
      <c r="H98" s="10"/>
      <c r="I98" s="41"/>
      <c r="J98" s="66"/>
      <c r="K98" s="66"/>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row>
    <row r="99" spans="1:53" s="4" customFormat="1" ht="40.15" customHeight="1">
      <c r="A99" s="25"/>
      <c r="B99" s="65"/>
      <c r="C99" s="166" t="s">
        <v>598</v>
      </c>
      <c r="D99" s="101" t="s">
        <v>722</v>
      </c>
      <c r="E99" s="185">
        <f>IFERROR(AVERAGE(E100, E102:E115),"")</f>
        <v>0</v>
      </c>
      <c r="F99" s="186"/>
      <c r="G99" s="187"/>
      <c r="H99" s="10"/>
      <c r="I99" s="41"/>
      <c r="J99" s="127"/>
      <c r="K99" s="127"/>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row>
    <row r="100" spans="1:53" s="9" customFormat="1" ht="40.15" customHeight="1">
      <c r="A100" s="24" t="s">
        <v>79</v>
      </c>
      <c r="B100" s="65">
        <v>77</v>
      </c>
      <c r="C100" s="90" t="s">
        <v>126</v>
      </c>
      <c r="D100" s="67" t="s">
        <v>519</v>
      </c>
      <c r="E100" s="105">
        <f>VLOOKUP(D100,Lookups!$A$2:$B$8,2,FALSE)</f>
        <v>0</v>
      </c>
      <c r="F100" s="157"/>
      <c r="G100" s="148"/>
      <c r="H100" s="21"/>
      <c r="I100" s="41"/>
      <c r="J100" s="41"/>
      <c r="K100" s="66"/>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row>
    <row r="101" spans="1:53" s="8" customFormat="1" ht="40.15" hidden="1" customHeight="1">
      <c r="A101" s="23" t="s">
        <v>87</v>
      </c>
      <c r="B101" s="65"/>
      <c r="C101" s="158"/>
      <c r="D101" s="67" t="s">
        <v>519</v>
      </c>
      <c r="E101" s="105">
        <f>VLOOKUP(D101,Lookups!$A$2:$B$8,2,FALSE)</f>
        <v>0</v>
      </c>
      <c r="F101" s="157"/>
      <c r="G101" s="149"/>
      <c r="H101" s="20"/>
      <c r="I101" s="41"/>
      <c r="J101" s="66"/>
      <c r="K101" s="66"/>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c r="AP101" s="20"/>
      <c r="AQ101" s="20"/>
      <c r="AR101" s="20"/>
      <c r="AS101" s="20"/>
      <c r="AT101" s="20"/>
      <c r="AU101" s="20"/>
      <c r="AV101" s="20"/>
      <c r="AW101" s="20"/>
      <c r="AX101" s="20"/>
      <c r="AY101" s="20"/>
      <c r="AZ101" s="20"/>
      <c r="BA101" s="20"/>
    </row>
    <row r="102" spans="1:53" s="8" customFormat="1" ht="40.15" customHeight="1">
      <c r="A102" s="26" t="s">
        <v>80</v>
      </c>
      <c r="B102" s="65">
        <v>78</v>
      </c>
      <c r="C102" s="158" t="s">
        <v>119</v>
      </c>
      <c r="D102" s="67" t="s">
        <v>519</v>
      </c>
      <c r="E102" s="105">
        <f>VLOOKUP(D102,Lookups!$A$2:$B$8,2,FALSE)</f>
        <v>0</v>
      </c>
      <c r="F102" s="157"/>
      <c r="G102" s="149"/>
      <c r="H102" s="20"/>
      <c r="I102" s="41"/>
      <c r="J102" s="66"/>
      <c r="K102" s="66"/>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c r="AP102" s="20"/>
      <c r="AQ102" s="20"/>
      <c r="AR102" s="20"/>
      <c r="AS102" s="20"/>
      <c r="AT102" s="20"/>
      <c r="AU102" s="20"/>
      <c r="AV102" s="20"/>
      <c r="AW102" s="20"/>
      <c r="AX102" s="20"/>
      <c r="AY102" s="20"/>
      <c r="AZ102" s="20"/>
      <c r="BA102" s="20"/>
    </row>
    <row r="103" spans="1:53" s="8" customFormat="1" ht="49.9" customHeight="1">
      <c r="A103" s="26" t="s">
        <v>44</v>
      </c>
      <c r="B103" s="65">
        <v>79</v>
      </c>
      <c r="C103" s="158" t="s">
        <v>508</v>
      </c>
      <c r="D103" s="67" t="s">
        <v>519</v>
      </c>
      <c r="E103" s="105">
        <f>VLOOKUP(D103,Lookups!$A$2:$B$8,2,FALSE)</f>
        <v>0</v>
      </c>
      <c r="F103" s="157"/>
      <c r="G103" s="149"/>
      <c r="H103" s="20"/>
      <c r="I103" s="41"/>
      <c r="J103" s="41"/>
      <c r="K103" s="66"/>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c r="AP103" s="20"/>
      <c r="AQ103" s="20"/>
      <c r="AR103" s="20"/>
      <c r="AS103" s="20"/>
      <c r="AT103" s="20"/>
      <c r="AU103" s="20"/>
      <c r="AV103" s="20"/>
      <c r="AW103" s="20"/>
      <c r="AX103" s="20"/>
      <c r="AY103" s="20"/>
      <c r="AZ103" s="20"/>
      <c r="BA103" s="20"/>
    </row>
    <row r="104" spans="1:53" s="8" customFormat="1" ht="40.15" customHeight="1">
      <c r="A104" s="26" t="s">
        <v>45</v>
      </c>
      <c r="B104" s="65">
        <v>80</v>
      </c>
      <c r="C104" s="78" t="s">
        <v>1</v>
      </c>
      <c r="D104" s="67" t="s">
        <v>519</v>
      </c>
      <c r="E104" s="105">
        <f>VLOOKUP(D104,Lookups!$A$2:$B$8,2,FALSE)</f>
        <v>0</v>
      </c>
      <c r="F104" s="157"/>
      <c r="G104" s="149"/>
      <c r="H104" s="20"/>
      <c r="I104" s="41"/>
      <c r="J104" s="66"/>
      <c r="K104" s="66"/>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row>
    <row r="105" spans="1:53" s="8" customFormat="1" ht="40.15" customHeight="1">
      <c r="A105" s="26" t="s">
        <v>46</v>
      </c>
      <c r="B105" s="65">
        <v>81</v>
      </c>
      <c r="C105" s="78" t="s">
        <v>120</v>
      </c>
      <c r="D105" s="67" t="s">
        <v>519</v>
      </c>
      <c r="E105" s="105">
        <f>VLOOKUP(D105,Lookups!$A$2:$B$8,2,FALSE)</f>
        <v>0</v>
      </c>
      <c r="F105" s="157"/>
      <c r="G105" s="149"/>
      <c r="H105" s="20"/>
      <c r="I105" s="41"/>
      <c r="J105" s="66"/>
      <c r="K105" s="66"/>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c r="AT105" s="20"/>
      <c r="AU105" s="20"/>
      <c r="AV105" s="20"/>
      <c r="AW105" s="20"/>
      <c r="AX105" s="20"/>
      <c r="AY105" s="20"/>
      <c r="AZ105" s="20"/>
      <c r="BA105" s="20"/>
    </row>
    <row r="106" spans="1:53" s="8" customFormat="1" ht="40.15" customHeight="1">
      <c r="A106" s="26" t="s">
        <v>47</v>
      </c>
      <c r="B106" s="65">
        <v>82</v>
      </c>
      <c r="C106" s="78" t="s">
        <v>106</v>
      </c>
      <c r="D106" s="67" t="s">
        <v>519</v>
      </c>
      <c r="E106" s="105">
        <f>VLOOKUP(D106,Lookups!$A$2:$B$8,2,FALSE)</f>
        <v>0</v>
      </c>
      <c r="F106" s="157"/>
      <c r="G106" s="149"/>
      <c r="H106" s="20"/>
      <c r="I106" s="41"/>
      <c r="J106" s="66"/>
      <c r="K106" s="66"/>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c r="AX106" s="20"/>
      <c r="AY106" s="20"/>
      <c r="AZ106" s="20"/>
      <c r="BA106" s="20"/>
    </row>
    <row r="107" spans="1:53" s="8" customFormat="1" ht="40.15" customHeight="1">
      <c r="A107" s="26" t="s">
        <v>48</v>
      </c>
      <c r="B107" s="65">
        <v>83</v>
      </c>
      <c r="C107" s="158" t="s">
        <v>527</v>
      </c>
      <c r="D107" s="67" t="s">
        <v>519</v>
      </c>
      <c r="E107" s="105">
        <f>VLOOKUP(D107,Lookups!$A$2:$B$8,2,FALSE)</f>
        <v>0</v>
      </c>
      <c r="F107" s="157"/>
      <c r="G107" s="149"/>
      <c r="H107" s="20"/>
      <c r="I107" s="41"/>
      <c r="J107" s="66"/>
      <c r="K107" s="66"/>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c r="AX107" s="20"/>
      <c r="AY107" s="20"/>
      <c r="AZ107" s="20"/>
      <c r="BA107" s="20"/>
    </row>
    <row r="108" spans="1:53" s="8" customFormat="1" ht="40.15" customHeight="1">
      <c r="A108" s="26" t="s">
        <v>49</v>
      </c>
      <c r="B108" s="65">
        <v>84</v>
      </c>
      <c r="C108" s="158" t="s">
        <v>107</v>
      </c>
      <c r="D108" s="67" t="s">
        <v>519</v>
      </c>
      <c r="E108" s="105">
        <f>VLOOKUP(D108,Lookups!$A$2:$B$8,2,FALSE)</f>
        <v>0</v>
      </c>
      <c r="F108" s="157"/>
      <c r="G108" s="149"/>
      <c r="H108" s="20"/>
      <c r="I108" s="41"/>
      <c r="J108" s="66"/>
      <c r="K108" s="66"/>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row>
    <row r="109" spans="1:53" s="8" customFormat="1" ht="40.15" customHeight="1">
      <c r="A109" s="26" t="s">
        <v>50</v>
      </c>
      <c r="B109" s="65">
        <v>85</v>
      </c>
      <c r="C109" s="158" t="s">
        <v>698</v>
      </c>
      <c r="D109" s="67" t="s">
        <v>519</v>
      </c>
      <c r="E109" s="105">
        <f>VLOOKUP(D109,Lookups!$A$2:$B$8,2,FALSE)</f>
        <v>0</v>
      </c>
      <c r="F109" s="157"/>
      <c r="G109" s="149"/>
      <c r="H109" s="20"/>
      <c r="I109" s="41"/>
      <c r="J109" s="66"/>
      <c r="K109" s="66"/>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c r="AX109" s="20"/>
      <c r="AY109" s="20"/>
      <c r="AZ109" s="20"/>
      <c r="BA109" s="20"/>
    </row>
    <row r="110" spans="1:53" s="8" customFormat="1" ht="40.15" customHeight="1">
      <c r="A110" s="26" t="s">
        <v>51</v>
      </c>
      <c r="B110" s="65">
        <v>86</v>
      </c>
      <c r="C110" s="158" t="s">
        <v>108</v>
      </c>
      <c r="D110" s="67" t="s">
        <v>519</v>
      </c>
      <c r="E110" s="105">
        <f>VLOOKUP(D110,Lookups!$A$2:$B$8,2,FALSE)</f>
        <v>0</v>
      </c>
      <c r="F110" s="157"/>
      <c r="G110" s="149"/>
      <c r="H110" s="20"/>
      <c r="I110" s="41"/>
      <c r="J110" s="66"/>
      <c r="K110" s="66"/>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c r="AX110" s="20"/>
      <c r="AY110" s="20"/>
      <c r="AZ110" s="20"/>
      <c r="BA110" s="20"/>
    </row>
    <row r="111" spans="1:53" s="8" customFormat="1" ht="40.15" customHeight="1">
      <c r="A111" s="26" t="s">
        <v>81</v>
      </c>
      <c r="B111" s="65">
        <v>87</v>
      </c>
      <c r="C111" s="158" t="s">
        <v>109</v>
      </c>
      <c r="D111" s="67" t="s">
        <v>519</v>
      </c>
      <c r="E111" s="105">
        <f>VLOOKUP(D111,Lookups!$A$2:$B$8,2,FALSE)</f>
        <v>0</v>
      </c>
      <c r="F111" s="157"/>
      <c r="G111" s="149"/>
      <c r="H111" s="20"/>
      <c r="I111" s="41"/>
      <c r="J111" s="66"/>
      <c r="K111" s="66"/>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20"/>
      <c r="AU111" s="20"/>
      <c r="AV111" s="20"/>
      <c r="AW111" s="20"/>
      <c r="AX111" s="20"/>
      <c r="AY111" s="20"/>
      <c r="AZ111" s="20"/>
      <c r="BA111" s="20"/>
    </row>
    <row r="112" spans="1:53" s="8" customFormat="1" ht="40.15" customHeight="1">
      <c r="A112" s="26" t="s">
        <v>82</v>
      </c>
      <c r="B112" s="65">
        <v>88</v>
      </c>
      <c r="C112" s="78" t="s">
        <v>223</v>
      </c>
      <c r="D112" s="67" t="s">
        <v>519</v>
      </c>
      <c r="E112" s="105">
        <f>VLOOKUP(D112,Lookups!$A$2:$B$8,2,FALSE)</f>
        <v>0</v>
      </c>
      <c r="F112" s="157"/>
      <c r="G112" s="149"/>
      <c r="H112" s="20"/>
      <c r="I112" s="41"/>
      <c r="J112" s="66"/>
      <c r="K112" s="66"/>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A112" s="20"/>
    </row>
    <row r="113" spans="1:53" s="8" customFormat="1" ht="40.15" customHeight="1">
      <c r="A113" s="26" t="s">
        <v>84</v>
      </c>
      <c r="B113" s="65">
        <v>89</v>
      </c>
      <c r="C113" s="78" t="s">
        <v>0</v>
      </c>
      <c r="D113" s="67" t="s">
        <v>519</v>
      </c>
      <c r="E113" s="105">
        <f>VLOOKUP(D113,Lookups!$A$2:$B$8,2,FALSE)</f>
        <v>0</v>
      </c>
      <c r="F113" s="157"/>
      <c r="G113" s="149"/>
      <c r="H113" s="20"/>
      <c r="I113" s="41"/>
      <c r="J113" s="66"/>
      <c r="K113" s="66"/>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A113" s="20"/>
    </row>
    <row r="114" spans="1:53" s="8" customFormat="1" ht="40.15" customHeight="1">
      <c r="A114" s="26" t="s">
        <v>85</v>
      </c>
      <c r="B114" s="65">
        <v>90</v>
      </c>
      <c r="C114" s="78" t="s">
        <v>110</v>
      </c>
      <c r="D114" s="67" t="s">
        <v>519</v>
      </c>
      <c r="E114" s="105">
        <f>VLOOKUP(D114,Lookups!$A$2:$B$8,2,FALSE)</f>
        <v>0</v>
      </c>
      <c r="F114" s="157"/>
      <c r="G114" s="149"/>
      <c r="H114" s="20"/>
      <c r="I114" s="41"/>
      <c r="J114" s="66"/>
      <c r="K114" s="66"/>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A114" s="20"/>
    </row>
    <row r="115" spans="1:53" s="8" customFormat="1" ht="40.15" customHeight="1">
      <c r="A115" s="26" t="s">
        <v>57</v>
      </c>
      <c r="B115" s="65">
        <v>91</v>
      </c>
      <c r="C115" s="78" t="s">
        <v>111</v>
      </c>
      <c r="D115" s="67" t="s">
        <v>519</v>
      </c>
      <c r="E115" s="105">
        <f>VLOOKUP(D115,Lookups!$A$2:$B$8,2,FALSE)</f>
        <v>0</v>
      </c>
      <c r="F115" s="157"/>
      <c r="G115" s="149"/>
      <c r="H115" s="20"/>
      <c r="I115" s="41"/>
      <c r="J115" s="66"/>
      <c r="K115" s="66"/>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A115" s="20"/>
    </row>
    <row r="116" spans="1:53" s="8" customFormat="1" ht="40.15" customHeight="1">
      <c r="A116" s="24" t="s">
        <v>58</v>
      </c>
      <c r="B116" s="65">
        <v>92</v>
      </c>
      <c r="C116" s="158" t="s">
        <v>117</v>
      </c>
      <c r="D116" s="67" t="s">
        <v>519</v>
      </c>
      <c r="E116" s="105">
        <f>VLOOKUP(D116,Lookups!$A$2:$B$8,2,FALSE)</f>
        <v>0</v>
      </c>
      <c r="F116" s="157"/>
      <c r="G116" s="149"/>
      <c r="H116" s="20"/>
      <c r="I116" s="41"/>
      <c r="J116" s="66"/>
      <c r="K116" s="66"/>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A116" s="20"/>
    </row>
    <row r="117" spans="1:53" s="4" customFormat="1" ht="40.15" customHeight="1">
      <c r="A117" s="25"/>
      <c r="B117" s="65"/>
      <c r="C117" s="166" t="s">
        <v>599</v>
      </c>
      <c r="D117" s="101" t="s">
        <v>723</v>
      </c>
      <c r="E117" s="185">
        <f>IFERROR(AVERAGE(E118:E119),"")</f>
        <v>0</v>
      </c>
      <c r="F117" s="186"/>
      <c r="G117" s="187"/>
      <c r="H117" s="10"/>
      <c r="I117" s="41"/>
      <c r="J117" s="127"/>
      <c r="K117" s="127"/>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row>
    <row r="118" spans="1:53" s="8" customFormat="1" ht="40.15" customHeight="1">
      <c r="A118" s="26" t="s">
        <v>59</v>
      </c>
      <c r="B118" s="65">
        <v>93</v>
      </c>
      <c r="C118" s="77" t="s">
        <v>708</v>
      </c>
      <c r="D118" s="67" t="s">
        <v>519</v>
      </c>
      <c r="E118" s="105">
        <f>VLOOKUP(D118,Lookups!$A$2:$B$8,2,FALSE)</f>
        <v>0</v>
      </c>
      <c r="F118" s="157"/>
      <c r="G118" s="147"/>
      <c r="H118" s="20"/>
      <c r="I118" s="41"/>
      <c r="J118" s="66"/>
      <c r="K118" s="66"/>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row>
    <row r="119" spans="1:53" s="8" customFormat="1" ht="40.15" customHeight="1">
      <c r="A119" s="26" t="s">
        <v>60</v>
      </c>
      <c r="B119" s="65">
        <v>94</v>
      </c>
      <c r="C119" s="78" t="s">
        <v>121</v>
      </c>
      <c r="D119" s="67" t="s">
        <v>519</v>
      </c>
      <c r="E119" s="105">
        <f>VLOOKUP(D119,Lookups!$A$2:$B$8,2,FALSE)</f>
        <v>0</v>
      </c>
      <c r="F119" s="157"/>
      <c r="G119" s="147"/>
      <c r="H119" s="20"/>
      <c r="I119" s="41"/>
      <c r="J119" s="66"/>
      <c r="K119" s="66"/>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row>
    <row r="120" spans="1:53" s="4" customFormat="1" ht="40.15" customHeight="1">
      <c r="A120" s="25"/>
      <c r="B120" s="65"/>
      <c r="C120" s="166" t="s">
        <v>600</v>
      </c>
      <c r="D120" s="101" t="s">
        <v>724</v>
      </c>
      <c r="E120" s="185">
        <f>IFERROR(AVERAGE(E121),"")</f>
        <v>0</v>
      </c>
      <c r="F120" s="186"/>
      <c r="G120" s="187"/>
      <c r="H120" s="10"/>
      <c r="I120" s="41"/>
      <c r="J120" s="127"/>
      <c r="K120" s="127"/>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row>
    <row r="121" spans="1:53" s="4" customFormat="1" ht="40.15" customHeight="1">
      <c r="A121" s="26" t="s">
        <v>696</v>
      </c>
      <c r="B121" s="65">
        <v>95</v>
      </c>
      <c r="C121" s="78" t="s">
        <v>526</v>
      </c>
      <c r="D121" s="67" t="s">
        <v>519</v>
      </c>
      <c r="E121" s="105">
        <f>VLOOKUP(D121,Lookups!$A$2:$B$8,2,FALSE)</f>
        <v>0</v>
      </c>
      <c r="F121" s="157"/>
      <c r="G121" s="149"/>
      <c r="H121" s="10"/>
      <c r="I121" s="41"/>
      <c r="J121" s="66"/>
      <c r="K121" s="66"/>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row>
    <row r="122" spans="1:53" s="4" customFormat="1" ht="40.15" customHeight="1">
      <c r="A122" s="25"/>
      <c r="B122" s="65"/>
      <c r="C122" s="166" t="s">
        <v>601</v>
      </c>
      <c r="D122" s="101" t="s">
        <v>725</v>
      </c>
      <c r="E122" s="185">
        <f>IFERROR(AVERAGE(E123:E130),"")</f>
        <v>0</v>
      </c>
      <c r="F122" s="186"/>
      <c r="G122" s="187"/>
      <c r="H122" s="10"/>
      <c r="I122" s="41"/>
      <c r="J122" s="127"/>
      <c r="K122" s="127"/>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row>
    <row r="123" spans="1:53" s="4" customFormat="1" ht="40.15" customHeight="1">
      <c r="A123" s="26" t="s">
        <v>62</v>
      </c>
      <c r="B123" s="65">
        <v>96</v>
      </c>
      <c r="C123" s="78" t="s">
        <v>699</v>
      </c>
      <c r="D123" s="67" t="s">
        <v>519</v>
      </c>
      <c r="E123" s="105">
        <f>VLOOKUP(D123,Lookups!$A$2:$B$8,2,FALSE)</f>
        <v>0</v>
      </c>
      <c r="F123" s="157"/>
      <c r="G123" s="149"/>
      <c r="H123" s="10"/>
      <c r="I123" s="41"/>
      <c r="J123" s="66"/>
      <c r="K123" s="66"/>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row>
    <row r="124" spans="1:53" s="4" customFormat="1" ht="40.15" customHeight="1">
      <c r="A124" s="26" t="s">
        <v>63</v>
      </c>
      <c r="B124" s="65">
        <v>97</v>
      </c>
      <c r="C124" s="78" t="s">
        <v>112</v>
      </c>
      <c r="D124" s="67" t="s">
        <v>519</v>
      </c>
      <c r="E124" s="105">
        <f>VLOOKUP(D124,Lookups!$A$2:$B$8,2,FALSE)</f>
        <v>0</v>
      </c>
      <c r="F124" s="157"/>
      <c r="G124" s="149"/>
      <c r="H124" s="10"/>
      <c r="I124" s="41"/>
      <c r="J124" s="66"/>
      <c r="K124" s="66"/>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row>
    <row r="125" spans="1:53" s="4" customFormat="1" ht="40.15" customHeight="1">
      <c r="A125" s="26" t="s">
        <v>64</v>
      </c>
      <c r="B125" s="65">
        <v>98</v>
      </c>
      <c r="C125" s="78" t="s">
        <v>122</v>
      </c>
      <c r="D125" s="67" t="s">
        <v>519</v>
      </c>
      <c r="E125" s="105">
        <f>VLOOKUP(D125,Lookups!$A$2:$B$8,2,FALSE)</f>
        <v>0</v>
      </c>
      <c r="F125" s="157"/>
      <c r="G125" s="149"/>
      <c r="H125" s="10"/>
      <c r="I125" s="41"/>
      <c r="J125" s="66"/>
      <c r="K125" s="66"/>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row>
    <row r="126" spans="1:53" s="7" customFormat="1" ht="40.15" customHeight="1">
      <c r="A126" s="38" t="s">
        <v>65</v>
      </c>
      <c r="B126" s="65">
        <v>99</v>
      </c>
      <c r="C126" s="158" t="s">
        <v>123</v>
      </c>
      <c r="D126" s="67" t="s">
        <v>519</v>
      </c>
      <c r="E126" s="105">
        <f>VLOOKUP(D126,Lookups!$A$2:$B$8,2,FALSE)</f>
        <v>0</v>
      </c>
      <c r="F126" s="157"/>
      <c r="G126" s="149"/>
      <c r="H126" s="11"/>
      <c r="I126" s="41"/>
      <c r="J126" s="66"/>
      <c r="K126" s="6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row>
    <row r="127" spans="1:53" s="4" customFormat="1" ht="40.15" customHeight="1">
      <c r="A127" s="26" t="s">
        <v>66</v>
      </c>
      <c r="B127" s="65">
        <v>100</v>
      </c>
      <c r="C127" s="158" t="s">
        <v>528</v>
      </c>
      <c r="D127" s="67" t="s">
        <v>519</v>
      </c>
      <c r="E127" s="105">
        <f>VLOOKUP(D127,Lookups!$A$2:$B$8,2,FALSE)</f>
        <v>0</v>
      </c>
      <c r="F127" s="157"/>
      <c r="G127" s="149"/>
      <c r="H127" s="10"/>
      <c r="I127" s="41"/>
      <c r="J127" s="66"/>
      <c r="K127" s="66"/>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row>
    <row r="128" spans="1:53" s="4" customFormat="1" ht="40.15" customHeight="1">
      <c r="A128" s="26" t="s">
        <v>67</v>
      </c>
      <c r="B128" s="65">
        <v>101</v>
      </c>
      <c r="C128" s="158" t="s">
        <v>113</v>
      </c>
      <c r="D128" s="67" t="s">
        <v>519</v>
      </c>
      <c r="E128" s="105">
        <f>VLOOKUP(D128,Lookups!$A$2:$B$8,2,FALSE)</f>
        <v>0</v>
      </c>
      <c r="F128" s="157"/>
      <c r="G128" s="149"/>
      <c r="H128" s="10"/>
      <c r="I128" s="41"/>
      <c r="J128" s="66"/>
      <c r="K128" s="66"/>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row>
    <row r="129" spans="1:53" s="4" customFormat="1" ht="40.15" customHeight="1">
      <c r="A129" s="26" t="s">
        <v>71</v>
      </c>
      <c r="B129" s="65">
        <v>102</v>
      </c>
      <c r="C129" s="158" t="s">
        <v>92</v>
      </c>
      <c r="D129" s="67" t="s">
        <v>519</v>
      </c>
      <c r="E129" s="105">
        <f>VLOOKUP(D129,Lookups!$A$2:$B$8,2,FALSE)</f>
        <v>0</v>
      </c>
      <c r="F129" s="157"/>
      <c r="G129" s="149"/>
      <c r="H129" s="10"/>
      <c r="I129" s="41"/>
      <c r="J129" s="66"/>
      <c r="K129" s="66"/>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row>
    <row r="130" spans="1:53" s="4" customFormat="1" ht="40.15" customHeight="1">
      <c r="A130" s="26" t="s">
        <v>72</v>
      </c>
      <c r="B130" s="65">
        <v>103</v>
      </c>
      <c r="C130" s="78" t="s">
        <v>93</v>
      </c>
      <c r="D130" s="67" t="s">
        <v>519</v>
      </c>
      <c r="E130" s="105">
        <f>VLOOKUP(D130,Lookups!$A$2:$B$8,2,FALSE)</f>
        <v>0</v>
      </c>
      <c r="F130" s="157"/>
      <c r="G130" s="149"/>
      <c r="H130" s="10"/>
      <c r="I130" s="41"/>
      <c r="J130" s="66"/>
      <c r="K130" s="66"/>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row>
    <row r="131" spans="1:53" ht="40.15" customHeight="1">
      <c r="A131" s="30"/>
      <c r="B131" s="94"/>
      <c r="C131" s="176" t="s">
        <v>541</v>
      </c>
      <c r="D131" s="173"/>
      <c r="E131" s="173"/>
      <c r="F131" s="173">
        <f>AVERAGE(E14:E130)</f>
        <v>0</v>
      </c>
      <c r="G131" s="172"/>
      <c r="H131" s="10"/>
      <c r="I131" s="41"/>
      <c r="J131" s="66"/>
      <c r="K131" s="66"/>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row>
    <row r="132" spans="1:53">
      <c r="A132" s="69"/>
      <c r="B132" s="94"/>
      <c r="C132" s="31"/>
      <c r="D132" s="59"/>
      <c r="E132" s="106"/>
      <c r="F132" s="45"/>
      <c r="G132" s="123"/>
      <c r="H132" s="10"/>
      <c r="I132" s="41"/>
      <c r="J132" s="66"/>
      <c r="K132" s="66"/>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row>
    <row r="133" spans="1:53">
      <c r="A133" s="31"/>
      <c r="B133" s="95"/>
      <c r="C133" s="31"/>
      <c r="D133" s="45"/>
      <c r="E133" s="102"/>
      <c r="F133" s="45"/>
      <c r="G133" s="123"/>
      <c r="H133" s="10"/>
      <c r="I133" s="41"/>
      <c r="J133" s="66"/>
      <c r="K133" s="66"/>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row>
    <row r="134" spans="1:53">
      <c r="A134" s="31"/>
      <c r="B134" s="95"/>
      <c r="C134" s="175"/>
      <c r="D134" s="45"/>
      <c r="E134" s="102"/>
      <c r="F134" s="58"/>
      <c r="G134" s="123"/>
      <c r="H134" s="10"/>
      <c r="I134" s="41"/>
      <c r="J134" s="66"/>
      <c r="K134" s="66"/>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row>
    <row r="135" spans="1:53">
      <c r="A135" s="32"/>
      <c r="B135" s="96"/>
      <c r="C135" s="32"/>
      <c r="D135" s="45"/>
      <c r="E135" s="102"/>
      <c r="F135" s="58"/>
      <c r="G135" s="123"/>
      <c r="H135" s="10"/>
      <c r="I135" s="41"/>
      <c r="J135" s="66"/>
      <c r="K135" s="66"/>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row>
    <row r="136" spans="1:53">
      <c r="A136" s="32"/>
      <c r="B136" s="96"/>
      <c r="C136" s="32"/>
      <c r="D136" s="58"/>
      <c r="E136" s="107"/>
      <c r="F136" s="45"/>
      <c r="G136" s="123"/>
      <c r="H136" s="10"/>
      <c r="I136" s="41"/>
      <c r="J136" s="66"/>
      <c r="K136" s="66"/>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row>
    <row r="137" spans="1:53" s="36" customFormat="1">
      <c r="A137" s="35"/>
      <c r="B137" s="95"/>
      <c r="C137" s="35"/>
      <c r="D137" s="58"/>
      <c r="E137" s="108"/>
      <c r="F137" s="45"/>
      <c r="G137" s="124"/>
      <c r="H137" s="19"/>
      <c r="I137" s="41"/>
      <c r="J137" s="66"/>
      <c r="K137" s="66"/>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row>
    <row r="138" spans="1:53">
      <c r="A138" s="33"/>
      <c r="B138" s="97"/>
      <c r="C138" s="33"/>
      <c r="D138" s="45"/>
      <c r="E138" s="108"/>
      <c r="F138" s="45"/>
      <c r="G138" s="123"/>
      <c r="H138" s="10"/>
      <c r="I138" s="41"/>
      <c r="J138" s="66"/>
      <c r="K138" s="66"/>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row>
    <row r="139" spans="1:53">
      <c r="A139" s="33"/>
      <c r="B139" s="97"/>
      <c r="C139" s="33"/>
      <c r="D139" s="45"/>
      <c r="E139" s="108"/>
      <c r="F139" s="45"/>
      <c r="G139" s="123"/>
      <c r="H139" s="10"/>
      <c r="I139" s="41"/>
      <c r="J139" s="66"/>
      <c r="K139" s="66"/>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row>
    <row r="140" spans="1:53">
      <c r="A140" s="33"/>
      <c r="B140" s="97"/>
      <c r="C140" s="33"/>
      <c r="D140" s="45"/>
      <c r="E140" s="108"/>
      <c r="F140" s="45"/>
      <c r="G140" s="123"/>
      <c r="H140" s="10"/>
      <c r="I140" s="41"/>
      <c r="J140" s="66"/>
      <c r="K140" s="66"/>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row>
    <row r="141" spans="1:53">
      <c r="A141" s="33"/>
      <c r="B141" s="97"/>
      <c r="C141" s="33"/>
      <c r="D141" s="45"/>
      <c r="E141" s="108"/>
      <c r="F141" s="45"/>
      <c r="G141" s="123"/>
      <c r="H141" s="10"/>
      <c r="I141" s="41"/>
      <c r="J141" s="66"/>
      <c r="K141" s="66"/>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row>
    <row r="142" spans="1:53">
      <c r="A142" s="33"/>
      <c r="B142" s="97"/>
      <c r="C142" s="33"/>
      <c r="D142" s="45"/>
      <c r="E142" s="108"/>
      <c r="F142" s="45"/>
      <c r="G142" s="123"/>
      <c r="H142" s="10"/>
      <c r="I142" s="41"/>
      <c r="J142" s="66"/>
      <c r="K142" s="66"/>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row>
    <row r="143" spans="1:53">
      <c r="A143" s="33"/>
      <c r="B143" s="97"/>
      <c r="C143" s="33"/>
      <c r="D143" s="45"/>
      <c r="E143" s="108"/>
      <c r="F143" s="45"/>
      <c r="G143" s="123"/>
      <c r="H143" s="10"/>
      <c r="I143" s="41"/>
      <c r="J143" s="66"/>
      <c r="K143" s="66"/>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row>
    <row r="144" spans="1:53">
      <c r="A144" s="33"/>
      <c r="B144" s="97"/>
      <c r="C144" s="33"/>
      <c r="D144" s="45"/>
      <c r="E144" s="108"/>
      <c r="F144" s="45"/>
      <c r="G144" s="123"/>
      <c r="H144" s="10"/>
      <c r="I144" s="41"/>
      <c r="J144" s="66"/>
      <c r="K144" s="66"/>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row>
    <row r="145" spans="1:53">
      <c r="A145" s="33"/>
      <c r="B145" s="97"/>
      <c r="C145" s="33"/>
      <c r="D145" s="45"/>
      <c r="E145" s="108"/>
      <c r="F145" s="45"/>
      <c r="G145" s="123"/>
      <c r="H145" s="10"/>
      <c r="I145" s="41"/>
      <c r="J145" s="66"/>
      <c r="K145" s="66"/>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row>
    <row r="146" spans="1:53">
      <c r="A146" s="33"/>
      <c r="B146" s="97"/>
      <c r="C146" s="33"/>
      <c r="D146" s="45"/>
      <c r="E146" s="108"/>
      <c r="F146" s="45"/>
      <c r="G146" s="123"/>
      <c r="H146" s="10"/>
      <c r="I146" s="41"/>
      <c r="J146" s="66"/>
      <c r="K146" s="66"/>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row>
    <row r="147" spans="1:53">
      <c r="A147" s="33"/>
      <c r="B147" s="97"/>
      <c r="C147" s="33"/>
      <c r="D147" s="45"/>
      <c r="E147" s="108"/>
      <c r="F147" s="45"/>
      <c r="G147" s="123"/>
      <c r="H147" s="10"/>
      <c r="I147" s="41"/>
      <c r="J147" s="66"/>
      <c r="K147" s="66"/>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row>
    <row r="148" spans="1:53">
      <c r="A148" s="33"/>
      <c r="B148" s="97"/>
      <c r="C148" s="33"/>
      <c r="D148" s="45"/>
      <c r="E148" s="108"/>
      <c r="F148" s="45"/>
      <c r="G148" s="123"/>
      <c r="H148" s="10"/>
      <c r="I148" s="41"/>
      <c r="J148" s="66"/>
      <c r="K148" s="66"/>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row>
    <row r="149" spans="1:53">
      <c r="A149" s="33"/>
      <c r="B149" s="97"/>
      <c r="C149" s="33"/>
      <c r="D149" s="45"/>
      <c r="E149" s="108"/>
      <c r="F149" s="45"/>
      <c r="G149" s="123"/>
      <c r="H149" s="10"/>
      <c r="I149" s="41"/>
      <c r="J149" s="66"/>
      <c r="K149" s="66"/>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row>
    <row r="150" spans="1:53">
      <c r="A150" s="33"/>
      <c r="B150" s="97"/>
      <c r="C150" s="33"/>
      <c r="D150" s="45"/>
      <c r="E150" s="108"/>
      <c r="F150" s="45"/>
      <c r="G150" s="123"/>
      <c r="H150" s="10"/>
      <c r="I150" s="41"/>
      <c r="J150" s="66"/>
      <c r="K150" s="66"/>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row>
    <row r="151" spans="1:53">
      <c r="A151" s="33"/>
      <c r="B151" s="97"/>
      <c r="C151" s="33"/>
      <c r="D151" s="45"/>
      <c r="E151" s="108"/>
      <c r="F151" s="45"/>
      <c r="G151" s="123"/>
      <c r="H151" s="10"/>
      <c r="I151" s="41"/>
      <c r="J151" s="66"/>
      <c r="K151" s="66"/>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row>
    <row r="152" spans="1:53">
      <c r="A152" s="33"/>
      <c r="B152" s="97"/>
      <c r="C152" s="33"/>
      <c r="D152" s="45"/>
      <c r="E152" s="108"/>
      <c r="F152" s="45"/>
      <c r="G152" s="123"/>
      <c r="H152" s="10"/>
      <c r="I152" s="41"/>
      <c r="J152" s="66"/>
      <c r="K152" s="66"/>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row>
    <row r="153" spans="1:53">
      <c r="A153" s="33"/>
      <c r="B153" s="97"/>
      <c r="C153" s="33"/>
      <c r="D153" s="45"/>
      <c r="E153" s="108"/>
      <c r="F153" s="45"/>
      <c r="G153" s="123"/>
      <c r="H153" s="10"/>
      <c r="I153" s="41"/>
      <c r="J153" s="66"/>
      <c r="K153" s="66"/>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row>
    <row r="154" spans="1:53">
      <c r="A154" s="33"/>
      <c r="B154" s="97"/>
      <c r="C154" s="33"/>
      <c r="D154" s="45"/>
      <c r="E154" s="108"/>
      <c r="F154" s="45"/>
      <c r="G154" s="123"/>
      <c r="H154" s="10"/>
      <c r="I154" s="41"/>
      <c r="J154" s="66"/>
      <c r="K154" s="66"/>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row>
    <row r="155" spans="1:53">
      <c r="A155" s="33"/>
      <c r="B155" s="97"/>
      <c r="C155" s="33"/>
      <c r="D155" s="45"/>
      <c r="E155" s="108"/>
      <c r="F155" s="45"/>
      <c r="G155" s="123"/>
      <c r="H155" s="10"/>
      <c r="I155" s="41"/>
      <c r="J155" s="66"/>
      <c r="K155" s="66"/>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row>
    <row r="156" spans="1:53">
      <c r="A156" s="33"/>
      <c r="B156" s="97"/>
      <c r="C156" s="33"/>
      <c r="D156" s="45"/>
      <c r="E156" s="108"/>
      <c r="F156" s="45"/>
      <c r="G156" s="123"/>
      <c r="H156" s="10"/>
      <c r="I156" s="41"/>
      <c r="J156" s="66"/>
      <c r="K156" s="66"/>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row>
    <row r="157" spans="1:53">
      <c r="A157" s="33"/>
      <c r="B157" s="97"/>
      <c r="C157" s="33"/>
      <c r="D157" s="45"/>
      <c r="E157" s="108"/>
      <c r="F157" s="45"/>
      <c r="G157" s="123"/>
      <c r="H157" s="10"/>
      <c r="I157" s="41"/>
      <c r="J157" s="66"/>
      <c r="K157" s="66"/>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row>
    <row r="158" spans="1:53">
      <c r="A158" s="33"/>
      <c r="B158" s="97"/>
      <c r="C158" s="33"/>
      <c r="D158" s="45"/>
      <c r="E158" s="108"/>
      <c r="F158" s="45"/>
      <c r="G158" s="123"/>
      <c r="H158" s="10"/>
      <c r="I158" s="41"/>
      <c r="J158" s="41"/>
      <c r="K158" s="66"/>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row>
    <row r="159" spans="1:53" s="12" customFormat="1">
      <c r="A159" s="33"/>
      <c r="B159" s="97"/>
      <c r="C159" s="33"/>
      <c r="D159" s="45"/>
      <c r="E159" s="108"/>
      <c r="F159" s="45"/>
      <c r="G159" s="123"/>
      <c r="H159" s="22"/>
      <c r="I159" s="41"/>
      <c r="J159" s="66"/>
      <c r="K159" s="66"/>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row>
    <row r="160" spans="1:53" s="12" customFormat="1">
      <c r="A160" s="33"/>
      <c r="B160" s="97"/>
      <c r="C160" s="33"/>
      <c r="D160" s="45"/>
      <c r="E160" s="108"/>
      <c r="F160" s="45"/>
      <c r="G160" s="123"/>
      <c r="H160" s="22"/>
      <c r="I160" s="41"/>
      <c r="J160" s="66"/>
      <c r="K160" s="66"/>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row>
    <row r="161" spans="1:53" s="12" customFormat="1">
      <c r="A161" s="33"/>
      <c r="B161" s="97"/>
      <c r="C161" s="33"/>
      <c r="D161" s="45"/>
      <c r="E161" s="108"/>
      <c r="F161" s="45"/>
      <c r="G161" s="123"/>
      <c r="H161" s="22"/>
      <c r="I161" s="41"/>
      <c r="J161" s="66"/>
      <c r="K161" s="66"/>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row>
    <row r="162" spans="1:53" s="12" customFormat="1">
      <c r="A162" s="33"/>
      <c r="B162" s="97"/>
      <c r="C162" s="33"/>
      <c r="D162" s="45"/>
      <c r="E162" s="108"/>
      <c r="F162" s="45"/>
      <c r="G162" s="123"/>
      <c r="H162" s="22"/>
      <c r="I162" s="41"/>
      <c r="J162" s="66"/>
      <c r="K162" s="66"/>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row>
    <row r="163" spans="1:53" s="12" customFormat="1" ht="12.75" customHeight="1">
      <c r="A163" s="33"/>
      <c r="B163" s="97"/>
      <c r="C163" s="33"/>
      <c r="D163" s="45"/>
      <c r="E163" s="108"/>
      <c r="F163" s="45"/>
      <c r="G163" s="123"/>
      <c r="H163" s="22"/>
      <c r="I163" s="41"/>
      <c r="J163" s="66"/>
      <c r="K163" s="66"/>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row>
    <row r="164" spans="1:53" s="12" customFormat="1">
      <c r="A164" s="33"/>
      <c r="B164" s="97"/>
      <c r="C164" s="33"/>
      <c r="D164" s="45"/>
      <c r="E164" s="108"/>
      <c r="F164" s="45"/>
      <c r="G164" s="123"/>
      <c r="H164" s="22"/>
      <c r="I164" s="41"/>
      <c r="J164" s="66"/>
      <c r="K164" s="66"/>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row>
    <row r="165" spans="1:53" s="12" customFormat="1" ht="12.75" customHeight="1">
      <c r="A165" s="33"/>
      <c r="B165" s="97"/>
      <c r="C165" s="33"/>
      <c r="D165" s="45"/>
      <c r="E165" s="108"/>
      <c r="F165" s="45"/>
      <c r="G165" s="123"/>
      <c r="H165" s="22"/>
      <c r="I165" s="41"/>
      <c r="J165" s="66"/>
      <c r="K165" s="66"/>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row>
    <row r="166" spans="1:53" s="12" customFormat="1">
      <c r="A166" s="33"/>
      <c r="B166" s="97"/>
      <c r="C166" s="33"/>
      <c r="D166" s="45"/>
      <c r="E166" s="108"/>
      <c r="F166" s="45"/>
      <c r="G166" s="123"/>
      <c r="H166" s="22"/>
      <c r="I166" s="41"/>
      <c r="J166" s="66"/>
      <c r="K166" s="66"/>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row>
    <row r="167" spans="1:53" s="12" customFormat="1" ht="12.75" customHeight="1">
      <c r="A167" s="33"/>
      <c r="B167" s="97"/>
      <c r="C167" s="33"/>
      <c r="D167" s="45"/>
      <c r="E167" s="108"/>
      <c r="F167" s="45"/>
      <c r="G167" s="123"/>
      <c r="H167" s="22"/>
      <c r="I167" s="41"/>
      <c r="J167" s="66"/>
      <c r="K167" s="66"/>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row>
    <row r="168" spans="1:53" s="12" customFormat="1">
      <c r="A168" s="33"/>
      <c r="B168" s="97"/>
      <c r="C168" s="33"/>
      <c r="D168" s="45"/>
      <c r="E168" s="108"/>
      <c r="F168" s="45"/>
      <c r="G168" s="123"/>
      <c r="H168" s="22"/>
      <c r="I168" s="41"/>
      <c r="J168" s="66"/>
      <c r="K168" s="66"/>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row>
    <row r="169" spans="1:53" s="12" customFormat="1">
      <c r="A169" s="33"/>
      <c r="B169" s="97"/>
      <c r="C169" s="33"/>
      <c r="D169" s="45"/>
      <c r="E169" s="108"/>
      <c r="F169" s="45"/>
      <c r="G169" s="123"/>
      <c r="H169" s="22"/>
      <c r="I169" s="41"/>
      <c r="J169" s="66"/>
      <c r="K169" s="66"/>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row>
    <row r="170" spans="1:53" s="12" customFormat="1">
      <c r="A170" s="33"/>
      <c r="B170" s="97"/>
      <c r="C170" s="33"/>
      <c r="D170" s="45"/>
      <c r="E170" s="109"/>
      <c r="F170" s="45"/>
      <c r="G170" s="123"/>
      <c r="H170" s="22"/>
      <c r="I170" s="41"/>
      <c r="J170" s="66"/>
      <c r="K170" s="66"/>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row>
    <row r="171" spans="1:53" s="12" customFormat="1">
      <c r="A171" s="13"/>
      <c r="B171" s="98"/>
      <c r="C171" s="13"/>
      <c r="D171" s="45"/>
      <c r="E171" s="109"/>
      <c r="F171" s="45"/>
      <c r="G171" s="123"/>
      <c r="H171" s="22"/>
      <c r="I171" s="41"/>
      <c r="J171" s="66"/>
      <c r="K171" s="66"/>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row>
    <row r="172" spans="1:53" s="12" customFormat="1">
      <c r="A172" s="13"/>
      <c r="B172" s="98"/>
      <c r="C172" s="13"/>
      <c r="D172" s="45"/>
      <c r="E172" s="109"/>
      <c r="F172" s="45"/>
      <c r="G172" s="123"/>
      <c r="H172" s="22"/>
      <c r="I172" s="41"/>
      <c r="J172" s="66"/>
      <c r="K172" s="66"/>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row>
    <row r="173" spans="1:53" s="12" customFormat="1">
      <c r="A173" s="13"/>
      <c r="B173" s="98"/>
      <c r="C173" s="13"/>
      <c r="D173" s="45"/>
      <c r="E173" s="109"/>
      <c r="F173" s="45"/>
      <c r="G173" s="123"/>
      <c r="H173" s="22"/>
      <c r="I173" s="41"/>
      <c r="J173" s="66"/>
      <c r="K173" s="66"/>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row>
    <row r="174" spans="1:53" s="12" customFormat="1">
      <c r="A174" s="13"/>
      <c r="B174" s="98"/>
      <c r="C174" s="13"/>
      <c r="D174" s="45"/>
      <c r="E174" s="110"/>
      <c r="F174" s="68"/>
      <c r="G174" s="123"/>
      <c r="H174" s="22"/>
      <c r="I174" s="41"/>
      <c r="J174" s="66"/>
      <c r="K174" s="66"/>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row>
    <row r="175" spans="1:53" s="12" customFormat="1">
      <c r="A175" s="14"/>
      <c r="B175" s="99"/>
      <c r="C175" s="14"/>
      <c r="D175" s="45"/>
      <c r="E175" s="109"/>
      <c r="F175" s="45"/>
      <c r="G175" s="123"/>
      <c r="H175" s="22"/>
      <c r="I175" s="41"/>
      <c r="J175" s="66"/>
      <c r="K175" s="66"/>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row>
    <row r="176" spans="1:53" s="12" customFormat="1">
      <c r="A176" s="13" t="s">
        <v>76</v>
      </c>
      <c r="B176" s="98"/>
      <c r="C176" s="13"/>
      <c r="D176" s="68"/>
      <c r="E176" s="111"/>
      <c r="F176" s="45"/>
      <c r="G176" s="123"/>
      <c r="H176" s="22"/>
      <c r="I176" s="41"/>
      <c r="J176" s="66"/>
      <c r="K176" s="66"/>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row>
    <row r="177" spans="1:53" s="12" customFormat="1">
      <c r="A177" s="13" t="s">
        <v>76</v>
      </c>
      <c r="B177" s="98"/>
      <c r="C177" s="13"/>
      <c r="D177" s="45"/>
      <c r="E177" s="111"/>
      <c r="F177" s="45"/>
      <c r="G177" s="123"/>
      <c r="H177" s="22"/>
      <c r="I177" s="41"/>
      <c r="J177" s="66"/>
      <c r="K177" s="66"/>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row>
    <row r="178" spans="1:53" s="12" customFormat="1">
      <c r="A178" s="13" t="s">
        <v>76</v>
      </c>
      <c r="B178" s="98"/>
      <c r="C178" s="13"/>
      <c r="D178" s="45"/>
      <c r="E178" s="111"/>
      <c r="F178" s="45"/>
      <c r="G178" s="123"/>
      <c r="H178" s="22"/>
      <c r="I178" s="41"/>
      <c r="J178" s="66"/>
      <c r="K178" s="66"/>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row>
    <row r="179" spans="1:53" s="12" customFormat="1">
      <c r="A179" s="13" t="s">
        <v>76</v>
      </c>
      <c r="B179" s="98"/>
      <c r="C179" s="13"/>
      <c r="D179" s="45"/>
      <c r="E179" s="111"/>
      <c r="F179" s="45"/>
      <c r="G179" s="123"/>
      <c r="H179" s="22"/>
      <c r="I179" s="41"/>
      <c r="J179" s="66"/>
      <c r="K179" s="66"/>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row>
    <row r="180" spans="1:53" s="12" customFormat="1">
      <c r="A180" s="13" t="s">
        <v>76</v>
      </c>
      <c r="B180" s="98"/>
      <c r="C180" s="13"/>
      <c r="D180" s="45"/>
      <c r="E180" s="111"/>
      <c r="F180" s="45"/>
      <c r="G180" s="123"/>
      <c r="H180" s="22"/>
      <c r="I180" s="41"/>
      <c r="J180" s="66"/>
      <c r="K180" s="66"/>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row>
    <row r="181" spans="1:53" s="12" customFormat="1">
      <c r="A181" s="13" t="s">
        <v>76</v>
      </c>
      <c r="B181" s="98"/>
      <c r="C181" s="13"/>
      <c r="D181" s="45"/>
      <c r="E181" s="111"/>
      <c r="F181" s="45"/>
      <c r="G181" s="123"/>
      <c r="H181" s="22"/>
      <c r="I181" s="41"/>
      <c r="J181" s="66"/>
      <c r="K181" s="66"/>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row>
    <row r="182" spans="1:53" s="12" customFormat="1">
      <c r="A182" s="13" t="s">
        <v>76</v>
      </c>
      <c r="B182" s="98"/>
      <c r="C182" s="13"/>
      <c r="D182" s="45"/>
      <c r="E182" s="111"/>
      <c r="F182" s="45"/>
      <c r="G182" s="123"/>
      <c r="H182" s="22"/>
      <c r="I182" s="41"/>
      <c r="J182" s="66"/>
      <c r="K182" s="66"/>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row>
    <row r="183" spans="1:53" s="12" customFormat="1">
      <c r="A183" s="13" t="s">
        <v>76</v>
      </c>
      <c r="B183" s="98"/>
      <c r="C183" s="13"/>
      <c r="D183" s="45"/>
      <c r="E183" s="111"/>
      <c r="F183" s="45"/>
      <c r="G183" s="123"/>
      <c r="H183" s="22"/>
      <c r="I183" s="41"/>
      <c r="J183" s="66"/>
      <c r="K183" s="66"/>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row>
    <row r="184" spans="1:53" s="12" customFormat="1">
      <c r="A184" s="13" t="s">
        <v>76</v>
      </c>
      <c r="B184" s="98"/>
      <c r="C184" s="13"/>
      <c r="D184" s="45"/>
      <c r="E184" s="111"/>
      <c r="F184" s="45"/>
      <c r="G184" s="123"/>
      <c r="H184" s="22"/>
      <c r="I184" s="41"/>
      <c r="J184" s="66"/>
      <c r="K184" s="66"/>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row>
    <row r="185" spans="1:53" s="12" customFormat="1">
      <c r="A185" s="13" t="s">
        <v>76</v>
      </c>
      <c r="B185" s="98"/>
      <c r="C185" s="13"/>
      <c r="D185" s="45"/>
      <c r="E185" s="111"/>
      <c r="F185" s="45"/>
      <c r="G185" s="123"/>
      <c r="H185" s="22"/>
      <c r="I185" s="41"/>
      <c r="J185" s="66"/>
      <c r="K185" s="66"/>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row>
    <row r="186" spans="1:53" s="12" customFormat="1">
      <c r="A186" s="13" t="s">
        <v>76</v>
      </c>
      <c r="B186" s="98"/>
      <c r="C186" s="13"/>
      <c r="D186" s="45"/>
      <c r="E186" s="111"/>
      <c r="F186" s="45"/>
      <c r="G186" s="123"/>
      <c r="H186" s="22"/>
      <c r="I186" s="41"/>
      <c r="J186" s="66"/>
      <c r="K186" s="66"/>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row>
    <row r="187" spans="1:53" s="12" customFormat="1">
      <c r="A187" s="13" t="s">
        <v>76</v>
      </c>
      <c r="B187" s="98"/>
      <c r="C187" s="13"/>
      <c r="D187" s="45"/>
      <c r="E187" s="111"/>
      <c r="F187" s="45"/>
      <c r="G187" s="125"/>
      <c r="I187" s="41"/>
      <c r="J187" s="66"/>
      <c r="K187" s="66"/>
    </row>
    <row r="188" spans="1:53" s="12" customFormat="1">
      <c r="A188" s="13" t="s">
        <v>76</v>
      </c>
      <c r="B188" s="98"/>
      <c r="C188" s="159"/>
      <c r="D188" s="45"/>
      <c r="E188" s="160"/>
      <c r="F188" s="45"/>
      <c r="G188" s="161"/>
      <c r="H188" s="162"/>
      <c r="I188" s="163"/>
      <c r="J188" s="66"/>
      <c r="K188" s="66"/>
    </row>
    <row r="189" spans="1:53" s="12" customFormat="1">
      <c r="A189" s="13" t="s">
        <v>76</v>
      </c>
      <c r="B189" s="98"/>
      <c r="C189" s="159"/>
      <c r="D189" s="45"/>
      <c r="E189" s="160"/>
      <c r="F189" s="45"/>
      <c r="G189" s="161"/>
      <c r="H189" s="162"/>
      <c r="I189" s="163"/>
      <c r="J189" s="66"/>
      <c r="K189" s="66"/>
    </row>
    <row r="190" spans="1:53" s="12" customFormat="1">
      <c r="A190" s="13" t="s">
        <v>76</v>
      </c>
      <c r="B190" s="98"/>
      <c r="C190" s="159"/>
      <c r="D190" s="45"/>
      <c r="E190" s="160"/>
      <c r="F190" s="45"/>
      <c r="G190" s="161"/>
      <c r="H190" s="162"/>
      <c r="I190" s="163"/>
      <c r="J190" s="66"/>
      <c r="K190" s="66"/>
    </row>
    <row r="191" spans="1:53" s="15" customFormat="1">
      <c r="A191" s="13" t="s">
        <v>76</v>
      </c>
      <c r="B191" s="98"/>
      <c r="C191" s="159"/>
      <c r="D191" s="45"/>
      <c r="E191" s="160"/>
      <c r="F191" s="45"/>
      <c r="G191" s="161"/>
      <c r="H191" s="164"/>
      <c r="I191" s="163"/>
      <c r="J191" s="66"/>
      <c r="K191" s="66"/>
    </row>
    <row r="192" spans="1:53" s="15" customFormat="1">
      <c r="A192" s="13" t="s">
        <v>76</v>
      </c>
      <c r="B192" s="98"/>
      <c r="C192" s="159"/>
      <c r="D192" s="45"/>
      <c r="E192" s="160"/>
      <c r="F192" s="45"/>
      <c r="G192" s="161"/>
      <c r="H192" s="164"/>
      <c r="I192" s="163"/>
      <c r="J192" s="66"/>
      <c r="K192" s="66"/>
    </row>
    <row r="193" spans="1:11" s="15" customFormat="1">
      <c r="A193" s="13" t="s">
        <v>76</v>
      </c>
      <c r="B193" s="98"/>
      <c r="C193" s="159"/>
      <c r="D193" s="45"/>
      <c r="E193" s="160"/>
      <c r="F193" s="45"/>
      <c r="G193" s="161"/>
      <c r="H193" s="164"/>
      <c r="I193" s="163"/>
      <c r="J193" s="66"/>
      <c r="K193" s="66"/>
    </row>
    <row r="194" spans="1:11" s="15" customFormat="1">
      <c r="A194" s="15" t="s">
        <v>76</v>
      </c>
      <c r="B194" s="98"/>
      <c r="C194" s="164"/>
      <c r="D194" s="63"/>
      <c r="E194" s="160"/>
      <c r="F194" s="45"/>
      <c r="G194" s="161"/>
      <c r="H194" s="164"/>
      <c r="I194" s="163"/>
      <c r="J194" s="66"/>
      <c r="K194" s="66"/>
    </row>
    <row r="195" spans="1:11" s="15" customFormat="1">
      <c r="A195" s="15" t="s">
        <v>76</v>
      </c>
      <c r="B195" s="98"/>
      <c r="C195" s="164"/>
      <c r="D195" s="63"/>
      <c r="E195" s="160"/>
      <c r="F195" s="45"/>
      <c r="G195" s="161"/>
      <c r="H195" s="164"/>
      <c r="I195" s="163"/>
      <c r="J195" s="66"/>
      <c r="K195" s="66"/>
    </row>
    <row r="196" spans="1:11">
      <c r="C196" s="164"/>
      <c r="D196" s="63"/>
      <c r="E196" s="160"/>
      <c r="F196" s="45"/>
      <c r="G196" s="161"/>
      <c r="H196" s="36"/>
      <c r="I196" s="163"/>
      <c r="J196" s="66"/>
      <c r="K196" s="66"/>
    </row>
    <row r="197" spans="1:11">
      <c r="C197" s="164"/>
      <c r="D197" s="63"/>
      <c r="E197" s="160"/>
      <c r="F197" s="45"/>
      <c r="G197" s="161"/>
      <c r="H197" s="36"/>
      <c r="I197" s="163"/>
      <c r="J197" s="66"/>
      <c r="K197" s="66"/>
    </row>
    <row r="198" spans="1:11">
      <c r="C198" s="164"/>
      <c r="D198" s="63"/>
      <c r="E198" s="160"/>
      <c r="F198" s="45"/>
      <c r="G198" s="161"/>
      <c r="H198" s="36"/>
      <c r="I198" s="163"/>
      <c r="J198" s="66"/>
      <c r="K198" s="66"/>
    </row>
    <row r="199" spans="1:11">
      <c r="C199" s="164"/>
      <c r="D199" s="63"/>
      <c r="E199" s="160"/>
      <c r="F199" s="45"/>
      <c r="G199" s="161"/>
      <c r="H199" s="36"/>
      <c r="I199" s="163"/>
      <c r="J199" s="66"/>
      <c r="K199" s="66"/>
    </row>
    <row r="200" spans="1:11">
      <c r="C200" s="164"/>
      <c r="D200" s="63"/>
      <c r="E200" s="160"/>
      <c r="F200" s="45"/>
      <c r="G200" s="161"/>
      <c r="H200" s="36"/>
      <c r="I200" s="163"/>
      <c r="J200" s="66"/>
      <c r="K200" s="66"/>
    </row>
    <row r="201" spans="1:11">
      <c r="C201" s="164"/>
      <c r="D201" s="63"/>
      <c r="E201" s="160"/>
      <c r="F201" s="45"/>
      <c r="G201" s="161"/>
      <c r="H201" s="36"/>
      <c r="I201" s="36"/>
    </row>
    <row r="202" spans="1:11">
      <c r="C202" s="164"/>
      <c r="D202" s="63"/>
      <c r="E202" s="160"/>
      <c r="F202" s="45"/>
      <c r="G202" s="161"/>
      <c r="H202" s="36"/>
      <c r="I202" s="36"/>
    </row>
    <row r="203" spans="1:11">
      <c r="C203" s="164"/>
      <c r="D203" s="63"/>
      <c r="E203" s="160"/>
      <c r="F203" s="45"/>
      <c r="G203" s="161"/>
      <c r="H203" s="36"/>
      <c r="I203" s="36"/>
    </row>
    <row r="204" spans="1:11">
      <c r="C204" s="164"/>
      <c r="D204" s="63"/>
      <c r="E204" s="160"/>
      <c r="F204" s="45"/>
      <c r="G204" s="161"/>
      <c r="H204" s="36"/>
      <c r="I204" s="36"/>
    </row>
    <row r="205" spans="1:11">
      <c r="C205" s="164"/>
      <c r="D205" s="63"/>
      <c r="E205" s="160"/>
      <c r="F205" s="45"/>
      <c r="G205" s="161"/>
      <c r="H205" s="36"/>
      <c r="I205" s="36"/>
    </row>
    <row r="206" spans="1:11">
      <c r="C206" s="164"/>
      <c r="D206" s="63"/>
      <c r="E206" s="160"/>
      <c r="F206" s="45"/>
      <c r="G206" s="161"/>
      <c r="H206" s="36"/>
      <c r="I206" s="36"/>
    </row>
    <row r="207" spans="1:11">
      <c r="C207" s="164"/>
      <c r="D207" s="63"/>
      <c r="E207" s="160"/>
      <c r="F207" s="45"/>
      <c r="G207" s="161"/>
      <c r="H207" s="36"/>
      <c r="I207" s="36"/>
    </row>
    <row r="208" spans="1:11">
      <c r="C208" s="164"/>
      <c r="D208" s="63"/>
      <c r="E208" s="160"/>
      <c r="F208" s="45"/>
      <c r="G208" s="161"/>
      <c r="H208" s="36"/>
      <c r="I208" s="36"/>
    </row>
    <row r="209" spans="3:9">
      <c r="C209" s="164"/>
      <c r="D209" s="63"/>
      <c r="E209" s="160"/>
      <c r="F209" s="45"/>
      <c r="G209" s="161"/>
      <c r="H209" s="36"/>
      <c r="I209" s="36"/>
    </row>
    <row r="210" spans="3:9">
      <c r="C210" s="164"/>
      <c r="D210" s="63"/>
      <c r="E210" s="160"/>
      <c r="F210" s="45"/>
      <c r="G210" s="161"/>
      <c r="H210" s="36"/>
      <c r="I210" s="36"/>
    </row>
    <row r="211" spans="3:9">
      <c r="C211" s="164"/>
      <c r="D211" s="63"/>
      <c r="E211" s="160"/>
      <c r="F211" s="45"/>
      <c r="G211" s="161"/>
      <c r="H211" s="36"/>
      <c r="I211" s="36"/>
    </row>
    <row r="212" spans="3:9">
      <c r="C212" s="164"/>
      <c r="D212" s="63"/>
      <c r="E212" s="160"/>
      <c r="F212" s="45"/>
      <c r="G212" s="161"/>
      <c r="H212" s="36"/>
      <c r="I212" s="36"/>
    </row>
    <row r="213" spans="3:9">
      <c r="C213" s="164"/>
      <c r="D213" s="63"/>
      <c r="E213" s="160"/>
      <c r="F213" s="45"/>
      <c r="G213" s="161"/>
      <c r="H213" s="36"/>
      <c r="I213" s="36"/>
    </row>
    <row r="214" spans="3:9">
      <c r="C214" s="164"/>
      <c r="D214" s="63"/>
      <c r="E214" s="160"/>
      <c r="F214" s="45"/>
      <c r="G214" s="161"/>
      <c r="H214" s="36"/>
      <c r="I214" s="36"/>
    </row>
    <row r="215" spans="3:9">
      <c r="C215" s="164"/>
      <c r="D215" s="63"/>
      <c r="E215" s="160"/>
      <c r="F215" s="45"/>
      <c r="G215" s="161"/>
      <c r="H215" s="36"/>
      <c r="I215" s="36"/>
    </row>
    <row r="216" spans="3:9">
      <c r="C216" s="164"/>
      <c r="D216" s="63"/>
      <c r="E216" s="160"/>
      <c r="F216" s="45"/>
      <c r="G216" s="161"/>
      <c r="H216" s="36"/>
      <c r="I216" s="36"/>
    </row>
    <row r="217" spans="3:9">
      <c r="C217" s="164"/>
      <c r="D217" s="63"/>
      <c r="E217" s="160"/>
      <c r="F217" s="45"/>
      <c r="G217" s="161"/>
      <c r="H217" s="36"/>
      <c r="I217" s="36"/>
    </row>
    <row r="218" spans="3:9">
      <c r="C218" s="164"/>
      <c r="D218" s="63"/>
      <c r="E218" s="160"/>
      <c r="F218" s="45"/>
      <c r="G218" s="161"/>
      <c r="H218" s="36"/>
      <c r="I218" s="36"/>
    </row>
    <row r="219" spans="3:9">
      <c r="C219" s="164"/>
      <c r="D219" s="63"/>
      <c r="E219" s="160"/>
      <c r="F219" s="45"/>
      <c r="G219" s="161"/>
      <c r="H219" s="36"/>
      <c r="I219" s="36"/>
    </row>
    <row r="220" spans="3:9">
      <c r="C220" s="164"/>
      <c r="D220" s="63"/>
      <c r="E220" s="160"/>
      <c r="F220" s="45"/>
      <c r="G220" s="161"/>
      <c r="H220" s="36"/>
      <c r="I220" s="36"/>
    </row>
    <row r="221" spans="3:9">
      <c r="C221" s="164"/>
      <c r="D221" s="63"/>
      <c r="E221" s="160"/>
      <c r="F221" s="45"/>
      <c r="G221" s="161"/>
      <c r="H221" s="36"/>
      <c r="I221" s="36"/>
    </row>
    <row r="222" spans="3:9">
      <c r="C222" s="164"/>
      <c r="D222" s="63"/>
      <c r="E222" s="160"/>
      <c r="F222" s="45"/>
      <c r="G222" s="161"/>
      <c r="H222" s="36"/>
      <c r="I222" s="36"/>
    </row>
    <row r="223" spans="3:9">
      <c r="C223" s="164"/>
      <c r="D223" s="63"/>
      <c r="E223" s="160"/>
      <c r="F223" s="45"/>
      <c r="G223" s="161"/>
      <c r="H223" s="36"/>
      <c r="I223" s="36"/>
    </row>
    <row r="224" spans="3:9">
      <c r="C224" s="164"/>
      <c r="D224" s="63"/>
      <c r="E224" s="160"/>
      <c r="F224" s="45"/>
      <c r="G224" s="161"/>
      <c r="H224" s="36"/>
      <c r="I224" s="36"/>
    </row>
    <row r="225" spans="3:9">
      <c r="C225" s="164"/>
      <c r="D225" s="63"/>
      <c r="E225" s="160"/>
      <c r="F225" s="45"/>
      <c r="G225" s="161"/>
      <c r="H225" s="36"/>
      <c r="I225" s="36"/>
    </row>
    <row r="226" spans="3:9">
      <c r="C226" s="164"/>
      <c r="D226" s="63"/>
      <c r="E226" s="160"/>
      <c r="F226" s="45"/>
      <c r="G226" s="161"/>
      <c r="H226" s="36"/>
      <c r="I226" s="36"/>
    </row>
    <row r="227" spans="3:9">
      <c r="C227" s="164"/>
      <c r="D227" s="63"/>
      <c r="E227" s="160"/>
      <c r="F227" s="45"/>
      <c r="G227" s="161"/>
      <c r="H227" s="36"/>
      <c r="I227" s="36"/>
    </row>
    <row r="228" spans="3:9">
      <c r="C228" s="164"/>
      <c r="D228" s="63"/>
      <c r="E228" s="160"/>
      <c r="F228" s="45"/>
      <c r="G228" s="161"/>
      <c r="H228" s="36"/>
      <c r="I228" s="36"/>
    </row>
    <row r="229" spans="3:9">
      <c r="C229" s="164"/>
      <c r="D229" s="63"/>
      <c r="E229" s="160"/>
      <c r="F229" s="45"/>
      <c r="G229" s="161"/>
      <c r="H229" s="36"/>
      <c r="I229" s="36"/>
    </row>
    <row r="230" spans="3:9">
      <c r="C230" s="164"/>
      <c r="D230" s="63"/>
      <c r="E230" s="160"/>
      <c r="F230" s="45"/>
      <c r="G230" s="161"/>
      <c r="H230" s="36"/>
      <c r="I230" s="36"/>
    </row>
    <row r="231" spans="3:9">
      <c r="C231" s="164"/>
      <c r="D231" s="63"/>
      <c r="E231" s="160"/>
      <c r="F231" s="45"/>
      <c r="G231" s="161"/>
      <c r="H231" s="36"/>
      <c r="I231" s="36"/>
    </row>
    <row r="232" spans="3:9">
      <c r="C232" s="164"/>
      <c r="D232" s="63"/>
      <c r="E232" s="160"/>
      <c r="F232" s="45"/>
      <c r="G232" s="161"/>
      <c r="H232" s="36"/>
      <c r="I232" s="36"/>
    </row>
    <row r="233" spans="3:9">
      <c r="C233" s="164"/>
      <c r="D233" s="63"/>
      <c r="E233" s="160"/>
      <c r="F233" s="45"/>
      <c r="G233" s="161"/>
      <c r="H233" s="36"/>
      <c r="I233" s="36"/>
    </row>
    <row r="234" spans="3:9">
      <c r="C234" s="164"/>
      <c r="D234" s="63"/>
      <c r="E234" s="160"/>
      <c r="F234" s="45"/>
      <c r="G234" s="161"/>
      <c r="H234" s="36"/>
      <c r="I234" s="36"/>
    </row>
    <row r="235" spans="3:9">
      <c r="C235" s="164"/>
      <c r="D235" s="63"/>
      <c r="E235" s="160"/>
      <c r="F235" s="45"/>
      <c r="G235" s="161"/>
      <c r="H235" s="36"/>
      <c r="I235" s="36"/>
    </row>
    <row r="236" spans="3:9">
      <c r="C236" s="164"/>
      <c r="D236" s="63"/>
      <c r="E236" s="160"/>
      <c r="F236" s="45"/>
      <c r="G236" s="161"/>
      <c r="H236" s="36"/>
      <c r="I236" s="36"/>
    </row>
    <row r="237" spans="3:9">
      <c r="C237" s="164"/>
      <c r="D237" s="63"/>
      <c r="E237" s="160"/>
      <c r="F237" s="45"/>
      <c r="G237" s="161"/>
      <c r="H237" s="36"/>
      <c r="I237" s="36"/>
    </row>
    <row r="238" spans="3:9">
      <c r="C238" s="164"/>
      <c r="D238" s="63"/>
      <c r="E238" s="160"/>
      <c r="F238" s="45"/>
      <c r="G238" s="161"/>
      <c r="H238" s="36"/>
      <c r="I238" s="36"/>
    </row>
    <row r="239" spans="3:9">
      <c r="C239" s="164"/>
      <c r="D239" s="63"/>
      <c r="E239" s="160"/>
      <c r="F239" s="45"/>
      <c r="G239" s="161"/>
      <c r="H239" s="36"/>
      <c r="I239" s="36"/>
    </row>
    <row r="240" spans="3:9">
      <c r="C240" s="164"/>
      <c r="D240" s="63"/>
      <c r="E240" s="160"/>
      <c r="F240" s="45"/>
      <c r="G240" s="161"/>
      <c r="H240" s="36"/>
      <c r="I240" s="36"/>
    </row>
    <row r="241" spans="3:9">
      <c r="C241" s="164"/>
      <c r="D241" s="63"/>
      <c r="E241" s="160"/>
      <c r="F241" s="45"/>
      <c r="G241" s="161"/>
      <c r="H241" s="36"/>
      <c r="I241" s="36"/>
    </row>
    <row r="242" spans="3:9">
      <c r="C242" s="164"/>
      <c r="D242" s="63"/>
      <c r="E242" s="160"/>
      <c r="F242" s="45"/>
      <c r="G242" s="161"/>
      <c r="H242" s="36"/>
      <c r="I242" s="36"/>
    </row>
    <row r="243" spans="3:9">
      <c r="C243" s="164"/>
      <c r="D243" s="63"/>
      <c r="E243" s="160"/>
      <c r="F243" s="45"/>
      <c r="G243" s="161"/>
      <c r="H243" s="36"/>
      <c r="I243" s="36"/>
    </row>
    <row r="244" spans="3:9">
      <c r="C244" s="164"/>
      <c r="D244" s="63"/>
      <c r="E244" s="160"/>
      <c r="F244" s="45"/>
      <c r="G244" s="161"/>
      <c r="H244" s="36"/>
      <c r="I244" s="36"/>
    </row>
    <row r="245" spans="3:9">
      <c r="C245" s="164"/>
      <c r="D245" s="63"/>
      <c r="E245" s="160"/>
      <c r="F245" s="45"/>
      <c r="G245" s="161"/>
      <c r="H245" s="36"/>
      <c r="I245" s="36"/>
    </row>
    <row r="246" spans="3:9">
      <c r="C246" s="164"/>
      <c r="D246" s="63"/>
      <c r="E246" s="160"/>
      <c r="F246" s="45"/>
      <c r="G246" s="161"/>
      <c r="H246" s="36"/>
      <c r="I246" s="36"/>
    </row>
    <row r="247" spans="3:9">
      <c r="C247" s="164"/>
      <c r="D247" s="63"/>
      <c r="E247" s="160"/>
      <c r="F247" s="45"/>
      <c r="G247" s="161"/>
      <c r="H247" s="36"/>
      <c r="I247" s="36"/>
    </row>
    <row r="248" spans="3:9">
      <c r="C248" s="164"/>
      <c r="D248" s="63"/>
      <c r="E248" s="160"/>
      <c r="F248" s="45"/>
      <c r="G248" s="161"/>
      <c r="H248" s="36"/>
      <c r="I248" s="36"/>
    </row>
    <row r="249" spans="3:9">
      <c r="C249" s="164"/>
      <c r="D249" s="63"/>
      <c r="E249" s="160"/>
      <c r="F249" s="45"/>
      <c r="G249" s="161"/>
      <c r="H249" s="36"/>
      <c r="I249" s="36"/>
    </row>
    <row r="250" spans="3:9">
      <c r="C250" s="164"/>
      <c r="D250" s="63"/>
      <c r="E250" s="160"/>
      <c r="F250" s="45"/>
      <c r="G250" s="161"/>
      <c r="H250" s="36"/>
      <c r="I250" s="36"/>
    </row>
    <row r="251" spans="3:9">
      <c r="C251" s="164"/>
      <c r="D251" s="63"/>
      <c r="E251" s="160"/>
      <c r="F251" s="45"/>
      <c r="G251" s="161"/>
      <c r="H251" s="36"/>
      <c r="I251" s="36"/>
    </row>
    <row r="252" spans="3:9">
      <c r="C252" s="164"/>
      <c r="D252" s="63"/>
      <c r="E252" s="160"/>
      <c r="F252" s="45"/>
      <c r="G252" s="161"/>
      <c r="H252" s="36"/>
      <c r="I252" s="36"/>
    </row>
    <row r="253" spans="3:9">
      <c r="C253" s="164"/>
      <c r="D253" s="63"/>
      <c r="E253" s="160"/>
      <c r="F253" s="45"/>
      <c r="G253" s="161"/>
      <c r="H253" s="36"/>
      <c r="I253" s="36"/>
    </row>
    <row r="254" spans="3:9">
      <c r="C254" s="164"/>
      <c r="D254" s="63"/>
      <c r="E254" s="160"/>
      <c r="F254" s="45"/>
      <c r="G254" s="161"/>
      <c r="H254" s="36"/>
      <c r="I254" s="36"/>
    </row>
    <row r="255" spans="3:9">
      <c r="C255" s="164"/>
      <c r="D255" s="63"/>
      <c r="E255" s="160"/>
      <c r="F255" s="45"/>
      <c r="G255" s="161"/>
      <c r="H255" s="36"/>
      <c r="I255" s="36"/>
    </row>
    <row r="256" spans="3:9">
      <c r="C256" s="164"/>
      <c r="D256" s="63"/>
      <c r="E256" s="160"/>
      <c r="F256" s="45"/>
      <c r="G256" s="161"/>
      <c r="H256" s="36"/>
      <c r="I256" s="36"/>
    </row>
    <row r="257" spans="3:9">
      <c r="C257" s="164"/>
      <c r="D257" s="63"/>
      <c r="E257" s="160"/>
      <c r="F257" s="45"/>
      <c r="G257" s="161"/>
      <c r="H257" s="36"/>
      <c r="I257" s="36"/>
    </row>
    <row r="258" spans="3:9">
      <c r="C258" s="164"/>
      <c r="D258" s="63"/>
      <c r="E258" s="160"/>
      <c r="F258" s="45"/>
      <c r="G258" s="161"/>
      <c r="H258" s="36"/>
      <c r="I258" s="36"/>
    </row>
    <row r="259" spans="3:9">
      <c r="C259" s="164"/>
      <c r="D259" s="63"/>
      <c r="E259" s="160"/>
      <c r="F259" s="45"/>
      <c r="G259" s="161"/>
      <c r="H259" s="36"/>
      <c r="I259" s="36"/>
    </row>
    <row r="260" spans="3:9">
      <c r="C260" s="164"/>
      <c r="D260" s="63"/>
      <c r="E260" s="160"/>
      <c r="F260" s="45"/>
      <c r="G260" s="161"/>
      <c r="H260" s="36"/>
      <c r="I260" s="36"/>
    </row>
    <row r="261" spans="3:9">
      <c r="C261" s="164"/>
      <c r="D261" s="63"/>
      <c r="E261" s="160"/>
      <c r="F261" s="45"/>
      <c r="G261" s="161"/>
      <c r="H261" s="36"/>
      <c r="I261" s="36"/>
    </row>
    <row r="262" spans="3:9">
      <c r="C262" s="164"/>
      <c r="D262" s="63"/>
      <c r="E262" s="160"/>
      <c r="F262" s="45"/>
      <c r="G262" s="161"/>
      <c r="H262" s="36"/>
      <c r="I262" s="36"/>
    </row>
    <row r="263" spans="3:9">
      <c r="C263" s="164"/>
      <c r="D263" s="63"/>
      <c r="E263" s="160"/>
      <c r="F263" s="45"/>
      <c r="G263" s="161"/>
      <c r="H263" s="36"/>
      <c r="I263" s="36"/>
    </row>
    <row r="264" spans="3:9">
      <c r="C264" s="164"/>
      <c r="D264" s="63"/>
      <c r="E264" s="160"/>
      <c r="F264" s="45"/>
      <c r="G264" s="161"/>
      <c r="H264" s="36"/>
      <c r="I264" s="36"/>
    </row>
    <row r="265" spans="3:9">
      <c r="C265" s="164"/>
      <c r="D265" s="63"/>
      <c r="E265" s="160"/>
      <c r="F265" s="45"/>
      <c r="G265" s="161"/>
      <c r="H265" s="36"/>
      <c r="I265" s="36"/>
    </row>
    <row r="266" spans="3:9">
      <c r="C266" s="164"/>
      <c r="D266" s="63"/>
      <c r="E266" s="160"/>
      <c r="F266" s="45"/>
      <c r="G266" s="161"/>
      <c r="H266" s="36"/>
      <c r="I266" s="36"/>
    </row>
    <row r="267" spans="3:9">
      <c r="C267" s="164"/>
      <c r="D267" s="63"/>
      <c r="E267" s="160"/>
      <c r="F267" s="45"/>
      <c r="G267" s="161"/>
      <c r="H267" s="36"/>
      <c r="I267" s="36"/>
    </row>
    <row r="268" spans="3:9">
      <c r="C268" s="164"/>
      <c r="D268" s="63"/>
      <c r="E268" s="160"/>
      <c r="F268" s="45"/>
      <c r="G268" s="161"/>
      <c r="H268" s="36"/>
      <c r="I268" s="36"/>
    </row>
    <row r="269" spans="3:9">
      <c r="C269" s="164"/>
      <c r="D269" s="63"/>
      <c r="E269" s="160"/>
      <c r="F269" s="45"/>
      <c r="G269" s="161"/>
      <c r="H269" s="36"/>
      <c r="I269" s="36"/>
    </row>
    <row r="270" spans="3:9">
      <c r="C270" s="164"/>
      <c r="D270" s="63"/>
      <c r="E270" s="160"/>
      <c r="F270" s="45"/>
      <c r="G270" s="161"/>
      <c r="H270" s="36"/>
      <c r="I270" s="36"/>
    </row>
    <row r="271" spans="3:9">
      <c r="C271" s="164"/>
      <c r="D271" s="63"/>
      <c r="E271" s="160"/>
      <c r="F271" s="45"/>
      <c r="G271" s="161"/>
      <c r="H271" s="36"/>
      <c r="I271" s="36"/>
    </row>
    <row r="272" spans="3:9">
      <c r="C272" s="164"/>
      <c r="D272" s="63"/>
      <c r="E272" s="160"/>
      <c r="F272" s="45"/>
      <c r="G272" s="161"/>
      <c r="H272" s="36"/>
      <c r="I272" s="36"/>
    </row>
    <row r="273" spans="3:9">
      <c r="C273" s="164"/>
      <c r="D273" s="63"/>
      <c r="E273" s="160"/>
      <c r="F273" s="45"/>
      <c r="G273" s="161"/>
      <c r="H273" s="36"/>
      <c r="I273" s="36"/>
    </row>
    <row r="274" spans="3:9">
      <c r="C274" s="164"/>
      <c r="D274" s="63"/>
      <c r="E274" s="160"/>
      <c r="F274" s="45"/>
      <c r="G274" s="161"/>
      <c r="H274" s="36"/>
      <c r="I274" s="36"/>
    </row>
    <row r="275" spans="3:9">
      <c r="C275" s="164"/>
      <c r="D275" s="63"/>
      <c r="E275" s="160"/>
      <c r="F275" s="45"/>
      <c r="G275" s="161"/>
      <c r="H275" s="36"/>
      <c r="I275" s="36"/>
    </row>
    <row r="276" spans="3:9">
      <c r="C276" s="164"/>
      <c r="D276" s="63"/>
      <c r="E276" s="160"/>
      <c r="F276" s="45"/>
      <c r="G276" s="161"/>
      <c r="H276" s="36"/>
      <c r="I276" s="36"/>
    </row>
    <row r="277" spans="3:9">
      <c r="C277" s="164"/>
      <c r="D277" s="63"/>
      <c r="E277" s="160"/>
      <c r="F277" s="45"/>
      <c r="G277" s="161"/>
      <c r="H277" s="36"/>
      <c r="I277" s="36"/>
    </row>
    <row r="278" spans="3:9">
      <c r="C278" s="164"/>
      <c r="D278" s="63"/>
      <c r="E278" s="160"/>
      <c r="F278" s="45"/>
      <c r="G278" s="161"/>
      <c r="H278" s="36"/>
      <c r="I278" s="36"/>
    </row>
    <row r="279" spans="3:9">
      <c r="C279" s="164"/>
      <c r="D279" s="63"/>
      <c r="E279" s="160"/>
      <c r="F279" s="45"/>
      <c r="G279" s="161"/>
      <c r="H279" s="36"/>
      <c r="I279" s="36"/>
    </row>
    <row r="280" spans="3:9">
      <c r="C280" s="164"/>
      <c r="D280" s="63"/>
      <c r="E280" s="160"/>
      <c r="F280" s="45"/>
      <c r="G280" s="161"/>
      <c r="H280" s="36"/>
      <c r="I280" s="36"/>
    </row>
    <row r="281" spans="3:9">
      <c r="C281" s="164"/>
      <c r="D281" s="63"/>
      <c r="E281" s="160"/>
      <c r="F281" s="45"/>
      <c r="G281" s="161"/>
      <c r="H281" s="36"/>
      <c r="I281" s="36"/>
    </row>
    <row r="282" spans="3:9">
      <c r="C282" s="164"/>
      <c r="D282" s="63"/>
      <c r="E282" s="160"/>
      <c r="F282" s="45"/>
      <c r="G282" s="161"/>
      <c r="H282" s="36"/>
      <c r="I282" s="36"/>
    </row>
    <row r="283" spans="3:9">
      <c r="C283" s="164"/>
      <c r="D283" s="63"/>
      <c r="E283" s="160"/>
      <c r="F283" s="45"/>
      <c r="G283" s="161"/>
      <c r="H283" s="36"/>
      <c r="I283" s="36"/>
    </row>
    <row r="284" spans="3:9">
      <c r="C284" s="164"/>
      <c r="D284" s="63"/>
      <c r="E284" s="160"/>
      <c r="F284" s="45"/>
      <c r="G284" s="161"/>
      <c r="H284" s="36"/>
      <c r="I284" s="36"/>
    </row>
    <row r="285" spans="3:9">
      <c r="C285" s="164"/>
      <c r="D285" s="63"/>
      <c r="E285" s="160"/>
      <c r="F285" s="45"/>
      <c r="G285" s="161"/>
      <c r="H285" s="36"/>
      <c r="I285" s="36"/>
    </row>
    <row r="286" spans="3:9">
      <c r="C286" s="164"/>
      <c r="D286" s="63"/>
      <c r="E286" s="160"/>
      <c r="F286" s="45"/>
      <c r="G286" s="161"/>
      <c r="H286" s="36"/>
      <c r="I286" s="36"/>
    </row>
    <row r="287" spans="3:9">
      <c r="C287" s="164"/>
      <c r="D287" s="63"/>
      <c r="E287" s="160"/>
      <c r="F287" s="45"/>
      <c r="G287" s="161"/>
      <c r="H287" s="36"/>
      <c r="I287" s="36"/>
    </row>
    <row r="288" spans="3:9">
      <c r="C288" s="164"/>
      <c r="D288" s="63"/>
      <c r="E288" s="160"/>
      <c r="F288" s="45"/>
      <c r="G288" s="161"/>
      <c r="H288" s="36"/>
      <c r="I288" s="36"/>
    </row>
    <row r="289" spans="3:9">
      <c r="C289" s="164"/>
      <c r="D289" s="63"/>
      <c r="E289" s="160"/>
      <c r="F289" s="45"/>
      <c r="G289" s="161"/>
      <c r="H289" s="36"/>
      <c r="I289" s="36"/>
    </row>
    <row r="290" spans="3:9">
      <c r="C290" s="164"/>
      <c r="D290" s="63"/>
      <c r="E290" s="160"/>
      <c r="F290" s="45"/>
      <c r="G290" s="161"/>
      <c r="H290" s="36"/>
      <c r="I290" s="36"/>
    </row>
    <row r="291" spans="3:9">
      <c r="C291" s="164"/>
      <c r="D291" s="63"/>
      <c r="E291" s="160"/>
      <c r="F291" s="45"/>
      <c r="G291" s="161"/>
      <c r="H291" s="36"/>
      <c r="I291" s="36"/>
    </row>
    <row r="292" spans="3:9">
      <c r="C292" s="164"/>
      <c r="D292" s="63"/>
      <c r="E292" s="160"/>
      <c r="F292" s="45"/>
      <c r="G292" s="161"/>
      <c r="H292" s="36"/>
      <c r="I292" s="36"/>
    </row>
    <row r="293" spans="3:9">
      <c r="C293" s="164"/>
      <c r="D293" s="63"/>
      <c r="E293" s="160"/>
      <c r="F293" s="45"/>
      <c r="G293" s="161"/>
      <c r="H293" s="36"/>
      <c r="I293" s="36"/>
    </row>
    <row r="294" spans="3:9">
      <c r="C294" s="164"/>
      <c r="D294" s="63"/>
      <c r="E294" s="160"/>
      <c r="F294" s="45"/>
      <c r="G294" s="161"/>
      <c r="H294" s="36"/>
      <c r="I294" s="36"/>
    </row>
    <row r="295" spans="3:9">
      <c r="C295" s="164"/>
      <c r="D295" s="63"/>
      <c r="E295" s="160"/>
      <c r="F295" s="45"/>
      <c r="G295" s="161"/>
      <c r="H295" s="36"/>
      <c r="I295" s="36"/>
    </row>
    <row r="296" spans="3:9">
      <c r="C296" s="164"/>
      <c r="D296" s="63"/>
      <c r="E296" s="160"/>
      <c r="F296" s="45"/>
      <c r="G296" s="161"/>
      <c r="H296" s="36"/>
      <c r="I296" s="36"/>
    </row>
    <row r="297" spans="3:9">
      <c r="C297" s="164"/>
      <c r="D297" s="63"/>
      <c r="E297" s="160"/>
      <c r="F297" s="45"/>
      <c r="G297" s="161"/>
      <c r="H297" s="36"/>
      <c r="I297" s="36"/>
    </row>
    <row r="298" spans="3:9">
      <c r="C298" s="164"/>
      <c r="D298" s="63"/>
      <c r="E298" s="160"/>
      <c r="F298" s="45"/>
      <c r="G298" s="161"/>
      <c r="H298" s="36"/>
      <c r="I298" s="36"/>
    </row>
    <row r="299" spans="3:9">
      <c r="C299" s="164"/>
      <c r="D299" s="63"/>
      <c r="E299" s="160"/>
      <c r="F299" s="45"/>
      <c r="G299" s="161"/>
      <c r="H299" s="36"/>
      <c r="I299" s="36"/>
    </row>
    <row r="300" spans="3:9">
      <c r="C300" s="164"/>
      <c r="D300" s="63"/>
      <c r="E300" s="160"/>
      <c r="F300" s="45"/>
      <c r="G300" s="161"/>
      <c r="H300" s="36"/>
      <c r="I300" s="36"/>
    </row>
    <row r="301" spans="3:9">
      <c r="C301" s="164"/>
      <c r="D301" s="63"/>
      <c r="E301" s="160"/>
      <c r="F301" s="45"/>
      <c r="G301" s="161"/>
      <c r="H301" s="36"/>
      <c r="I301" s="36"/>
    </row>
    <row r="302" spans="3:9">
      <c r="C302" s="164"/>
      <c r="D302" s="63"/>
      <c r="E302" s="160"/>
      <c r="F302" s="45"/>
      <c r="G302" s="161"/>
      <c r="H302" s="36"/>
      <c r="I302" s="36"/>
    </row>
    <row r="303" spans="3:9">
      <c r="C303" s="164"/>
      <c r="D303" s="63"/>
      <c r="E303" s="160"/>
      <c r="F303" s="45"/>
      <c r="G303" s="161"/>
      <c r="H303" s="36"/>
      <c r="I303" s="36"/>
    </row>
    <row r="304" spans="3:9">
      <c r="C304" s="164"/>
      <c r="D304" s="63"/>
      <c r="E304" s="160"/>
      <c r="F304" s="45"/>
      <c r="G304" s="161"/>
      <c r="H304" s="36"/>
      <c r="I304" s="36"/>
    </row>
    <row r="305" spans="3:9">
      <c r="C305" s="164"/>
      <c r="D305" s="63"/>
      <c r="E305" s="160"/>
      <c r="F305" s="45"/>
      <c r="G305" s="161"/>
      <c r="H305" s="36"/>
      <c r="I305" s="36"/>
    </row>
    <row r="306" spans="3:9">
      <c r="C306" s="164"/>
      <c r="D306" s="63"/>
      <c r="E306" s="160"/>
      <c r="F306" s="45"/>
      <c r="G306" s="161"/>
      <c r="H306" s="36"/>
      <c r="I306" s="36"/>
    </row>
    <row r="307" spans="3:9">
      <c r="C307" s="164"/>
      <c r="D307" s="63"/>
      <c r="E307" s="160"/>
      <c r="F307" s="45"/>
      <c r="G307" s="161"/>
      <c r="H307" s="36"/>
      <c r="I307" s="36"/>
    </row>
    <row r="308" spans="3:9">
      <c r="C308" s="164"/>
      <c r="D308" s="63"/>
      <c r="E308" s="160"/>
      <c r="F308" s="45"/>
      <c r="G308" s="161"/>
      <c r="H308" s="36"/>
      <c r="I308" s="36"/>
    </row>
    <row r="309" spans="3:9">
      <c r="C309" s="164"/>
      <c r="D309" s="63"/>
      <c r="E309" s="160"/>
      <c r="F309" s="45"/>
      <c r="G309" s="161"/>
      <c r="H309" s="36"/>
      <c r="I309" s="36"/>
    </row>
    <row r="310" spans="3:9">
      <c r="C310" s="164"/>
      <c r="D310" s="63"/>
      <c r="E310" s="160"/>
      <c r="F310" s="45"/>
      <c r="G310" s="161"/>
      <c r="H310" s="36"/>
      <c r="I310" s="36"/>
    </row>
    <row r="311" spans="3:9">
      <c r="C311" s="164"/>
      <c r="D311" s="63"/>
      <c r="E311" s="160"/>
      <c r="F311" s="45"/>
      <c r="G311" s="161"/>
      <c r="H311" s="36"/>
      <c r="I311" s="36"/>
    </row>
    <row r="312" spans="3:9">
      <c r="C312" s="164"/>
      <c r="D312" s="63"/>
      <c r="E312" s="160"/>
      <c r="F312" s="45"/>
      <c r="G312" s="161"/>
      <c r="H312" s="36"/>
      <c r="I312" s="36"/>
    </row>
    <row r="313" spans="3:9">
      <c r="C313" s="164"/>
      <c r="D313" s="63"/>
      <c r="E313" s="160"/>
      <c r="F313" s="45"/>
      <c r="G313" s="161"/>
      <c r="H313" s="36"/>
      <c r="I313" s="36"/>
    </row>
    <row r="314" spans="3:9">
      <c r="C314" s="164"/>
      <c r="D314" s="63"/>
      <c r="E314" s="160"/>
      <c r="F314" s="45"/>
      <c r="G314" s="161"/>
      <c r="H314" s="36"/>
      <c r="I314" s="36"/>
    </row>
    <row r="315" spans="3:9">
      <c r="C315" s="164"/>
      <c r="D315" s="63"/>
      <c r="E315" s="160"/>
      <c r="F315" s="45"/>
      <c r="G315" s="161"/>
      <c r="H315" s="36"/>
      <c r="I315" s="36"/>
    </row>
    <row r="316" spans="3:9">
      <c r="C316" s="164"/>
      <c r="D316" s="63"/>
      <c r="E316" s="160"/>
      <c r="F316" s="45"/>
      <c r="G316" s="161"/>
      <c r="H316" s="36"/>
      <c r="I316" s="36"/>
    </row>
    <row r="317" spans="3:9">
      <c r="C317" s="164"/>
      <c r="D317" s="63"/>
      <c r="E317" s="160"/>
      <c r="F317" s="45"/>
      <c r="G317" s="161"/>
      <c r="H317" s="36"/>
      <c r="I317" s="36"/>
    </row>
    <row r="318" spans="3:9">
      <c r="C318" s="164"/>
      <c r="D318" s="63"/>
      <c r="E318" s="160"/>
      <c r="F318" s="45"/>
      <c r="G318" s="161"/>
      <c r="H318" s="36"/>
      <c r="I318" s="36"/>
    </row>
    <row r="319" spans="3:9">
      <c r="C319" s="164"/>
      <c r="D319" s="63"/>
      <c r="E319" s="160"/>
      <c r="F319" s="45"/>
      <c r="G319" s="161"/>
      <c r="H319" s="36"/>
      <c r="I319" s="36"/>
    </row>
    <row r="320" spans="3:9">
      <c r="C320" s="164"/>
      <c r="D320" s="63"/>
      <c r="E320" s="160"/>
      <c r="F320" s="45"/>
      <c r="G320" s="161"/>
      <c r="H320" s="36"/>
      <c r="I320" s="36"/>
    </row>
    <row r="321" spans="3:9">
      <c r="C321" s="164"/>
      <c r="D321" s="63"/>
      <c r="E321" s="160"/>
      <c r="F321" s="45"/>
      <c r="G321" s="161"/>
      <c r="H321" s="36"/>
      <c r="I321" s="36"/>
    </row>
    <row r="322" spans="3:9">
      <c r="C322" s="164"/>
      <c r="D322" s="63"/>
      <c r="E322" s="160"/>
      <c r="F322" s="45"/>
      <c r="G322" s="161"/>
      <c r="H322" s="36"/>
      <c r="I322" s="36"/>
    </row>
    <row r="323" spans="3:9">
      <c r="C323" s="164"/>
      <c r="D323" s="63"/>
      <c r="E323" s="160"/>
      <c r="F323" s="45"/>
      <c r="G323" s="161"/>
      <c r="H323" s="36"/>
      <c r="I323" s="36"/>
    </row>
    <row r="324" spans="3:9">
      <c r="C324" s="164"/>
      <c r="D324" s="63"/>
      <c r="E324" s="160"/>
      <c r="F324" s="45"/>
      <c r="G324" s="161"/>
      <c r="H324" s="36"/>
      <c r="I324" s="36"/>
    </row>
    <row r="325" spans="3:9">
      <c r="C325" s="164"/>
      <c r="D325" s="63"/>
      <c r="E325" s="160"/>
      <c r="F325" s="45"/>
      <c r="G325" s="161"/>
      <c r="H325" s="36"/>
      <c r="I325" s="36"/>
    </row>
    <row r="326" spans="3:9">
      <c r="C326" s="164"/>
      <c r="D326" s="63"/>
      <c r="E326" s="160"/>
      <c r="F326" s="45"/>
      <c r="G326" s="161"/>
      <c r="H326" s="36"/>
      <c r="I326" s="36"/>
    </row>
    <row r="327" spans="3:9">
      <c r="C327" s="164"/>
      <c r="D327" s="63"/>
      <c r="E327" s="160"/>
      <c r="F327" s="45"/>
      <c r="G327" s="161"/>
      <c r="H327" s="36"/>
      <c r="I327" s="36"/>
    </row>
    <row r="328" spans="3:9">
      <c r="C328" s="164"/>
      <c r="D328" s="63"/>
      <c r="E328" s="160"/>
      <c r="F328" s="45"/>
      <c r="G328" s="161"/>
      <c r="H328" s="36"/>
      <c r="I328" s="36"/>
    </row>
    <row r="329" spans="3:9">
      <c r="C329" s="164"/>
      <c r="D329" s="63"/>
      <c r="E329" s="160"/>
      <c r="F329" s="45"/>
      <c r="G329" s="161"/>
      <c r="H329" s="36"/>
      <c r="I329" s="36"/>
    </row>
    <row r="330" spans="3:9">
      <c r="C330" s="164"/>
      <c r="D330" s="63"/>
      <c r="E330" s="160"/>
      <c r="F330" s="45"/>
      <c r="G330" s="161"/>
      <c r="H330" s="36"/>
      <c r="I330" s="36"/>
    </row>
    <row r="331" spans="3:9">
      <c r="C331" s="164"/>
      <c r="D331" s="63"/>
      <c r="E331" s="160"/>
      <c r="F331" s="45"/>
      <c r="G331" s="161"/>
      <c r="H331" s="36"/>
      <c r="I331" s="36"/>
    </row>
    <row r="332" spans="3:9">
      <c r="C332" s="164"/>
      <c r="D332" s="63"/>
      <c r="E332" s="160"/>
      <c r="F332" s="45"/>
      <c r="G332" s="161"/>
      <c r="H332" s="36"/>
      <c r="I332" s="36"/>
    </row>
    <row r="333" spans="3:9">
      <c r="C333" s="164"/>
      <c r="D333" s="63"/>
      <c r="E333" s="160"/>
      <c r="F333" s="45"/>
      <c r="G333" s="161"/>
      <c r="H333" s="36"/>
      <c r="I333" s="36"/>
    </row>
    <row r="334" spans="3:9">
      <c r="C334" s="164"/>
      <c r="D334" s="63"/>
      <c r="E334" s="160"/>
      <c r="F334" s="45"/>
      <c r="G334" s="161"/>
      <c r="H334" s="36"/>
      <c r="I334" s="36"/>
    </row>
    <row r="335" spans="3:9">
      <c r="C335" s="164"/>
      <c r="D335" s="63"/>
      <c r="E335" s="160"/>
      <c r="F335" s="45"/>
      <c r="G335" s="161"/>
      <c r="H335" s="36"/>
      <c r="I335" s="36"/>
    </row>
    <row r="336" spans="3:9">
      <c r="C336" s="164"/>
      <c r="D336" s="63"/>
      <c r="E336" s="160"/>
      <c r="F336" s="45"/>
      <c r="G336" s="161"/>
      <c r="H336" s="36"/>
      <c r="I336" s="36"/>
    </row>
    <row r="337" spans="3:9">
      <c r="C337" s="164"/>
      <c r="D337" s="63"/>
      <c r="E337" s="160"/>
      <c r="F337" s="45"/>
      <c r="G337" s="161"/>
      <c r="H337" s="36"/>
      <c r="I337" s="36"/>
    </row>
    <row r="338" spans="3:9">
      <c r="C338" s="164"/>
      <c r="D338" s="63"/>
      <c r="E338" s="160"/>
      <c r="F338" s="45"/>
      <c r="G338" s="161"/>
      <c r="H338" s="36"/>
      <c r="I338" s="36"/>
    </row>
    <row r="339" spans="3:9">
      <c r="C339" s="164"/>
      <c r="D339" s="63"/>
      <c r="E339" s="160"/>
      <c r="F339" s="45"/>
      <c r="G339" s="161"/>
      <c r="H339" s="36"/>
      <c r="I339" s="36"/>
    </row>
    <row r="340" spans="3:9">
      <c r="C340" s="164"/>
      <c r="D340" s="63"/>
      <c r="E340" s="160"/>
      <c r="F340" s="45"/>
      <c r="G340" s="161"/>
      <c r="H340" s="36"/>
      <c r="I340" s="36"/>
    </row>
    <row r="341" spans="3:9">
      <c r="C341" s="164"/>
      <c r="D341" s="63"/>
      <c r="E341" s="160"/>
      <c r="F341" s="45"/>
      <c r="G341" s="161"/>
      <c r="H341" s="36"/>
      <c r="I341" s="36"/>
    </row>
    <row r="342" spans="3:9">
      <c r="C342" s="164"/>
      <c r="D342" s="63"/>
      <c r="E342" s="160"/>
      <c r="F342" s="45"/>
      <c r="G342" s="161"/>
      <c r="H342" s="36"/>
      <c r="I342" s="36"/>
    </row>
    <row r="343" spans="3:9">
      <c r="C343" s="164"/>
      <c r="D343" s="63"/>
      <c r="E343" s="160"/>
      <c r="F343" s="45"/>
      <c r="G343" s="161"/>
      <c r="H343" s="36"/>
      <c r="I343" s="36"/>
    </row>
    <row r="344" spans="3:9">
      <c r="C344" s="164"/>
      <c r="D344" s="63"/>
      <c r="E344" s="160"/>
      <c r="F344" s="45"/>
      <c r="G344" s="161"/>
      <c r="H344" s="36"/>
      <c r="I344" s="36"/>
    </row>
    <row r="345" spans="3:9">
      <c r="C345" s="164"/>
      <c r="D345" s="63"/>
      <c r="E345" s="160"/>
      <c r="F345" s="45"/>
      <c r="G345" s="161"/>
      <c r="H345" s="36"/>
      <c r="I345" s="36"/>
    </row>
    <row r="346" spans="3:9">
      <c r="C346" s="164"/>
      <c r="D346" s="63"/>
      <c r="E346" s="160"/>
      <c r="F346" s="45"/>
      <c r="G346" s="161"/>
      <c r="H346" s="36"/>
      <c r="I346" s="36"/>
    </row>
    <row r="347" spans="3:9">
      <c r="C347" s="164"/>
      <c r="D347" s="63"/>
      <c r="E347" s="160"/>
      <c r="F347" s="45"/>
      <c r="G347" s="161"/>
      <c r="H347" s="36"/>
      <c r="I347" s="36"/>
    </row>
    <row r="348" spans="3:9">
      <c r="C348" s="164"/>
      <c r="D348" s="63"/>
      <c r="E348" s="160"/>
      <c r="F348" s="45"/>
      <c r="G348" s="161"/>
      <c r="H348" s="36"/>
      <c r="I348" s="36"/>
    </row>
    <row r="349" spans="3:9">
      <c r="C349" s="164"/>
      <c r="D349" s="63"/>
      <c r="E349" s="160"/>
      <c r="F349" s="45"/>
      <c r="G349" s="161"/>
      <c r="H349" s="36"/>
      <c r="I349" s="36"/>
    </row>
    <row r="350" spans="3:9">
      <c r="C350" s="164"/>
      <c r="D350" s="63"/>
      <c r="E350" s="160"/>
      <c r="F350" s="45"/>
      <c r="G350" s="161"/>
      <c r="H350" s="36"/>
      <c r="I350" s="36"/>
    </row>
    <row r="351" spans="3:9">
      <c r="C351" s="164"/>
      <c r="D351" s="63"/>
      <c r="E351" s="160"/>
      <c r="F351" s="45"/>
      <c r="G351" s="161"/>
      <c r="H351" s="36"/>
      <c r="I351" s="36"/>
    </row>
    <row r="352" spans="3:9">
      <c r="C352" s="164"/>
      <c r="D352" s="63"/>
      <c r="E352" s="160"/>
      <c r="F352" s="45"/>
      <c r="G352" s="161"/>
      <c r="H352" s="36"/>
      <c r="I352" s="36"/>
    </row>
    <row r="353" spans="3:9">
      <c r="C353" s="164"/>
      <c r="D353" s="63"/>
      <c r="E353" s="160"/>
      <c r="F353" s="45"/>
      <c r="G353" s="161"/>
      <c r="H353" s="36"/>
      <c r="I353" s="36"/>
    </row>
    <row r="354" spans="3:9">
      <c r="C354" s="164"/>
      <c r="D354" s="63"/>
      <c r="E354" s="160"/>
      <c r="F354" s="45"/>
      <c r="G354" s="161"/>
      <c r="H354" s="36"/>
      <c r="I354" s="36"/>
    </row>
    <row r="355" spans="3:9">
      <c r="C355" s="164"/>
      <c r="D355" s="63"/>
      <c r="E355" s="160"/>
      <c r="F355" s="45"/>
      <c r="G355" s="161"/>
      <c r="H355" s="36"/>
      <c r="I355" s="36"/>
    </row>
    <row r="356" spans="3:9">
      <c r="C356" s="164"/>
      <c r="D356" s="63"/>
      <c r="E356" s="160"/>
      <c r="F356" s="45"/>
      <c r="G356" s="161"/>
      <c r="H356" s="36"/>
      <c r="I356" s="36"/>
    </row>
    <row r="357" spans="3:9">
      <c r="C357" s="164"/>
      <c r="D357" s="63"/>
      <c r="E357" s="160"/>
      <c r="F357" s="45"/>
      <c r="G357" s="161"/>
      <c r="H357" s="36"/>
      <c r="I357" s="36"/>
    </row>
    <row r="358" spans="3:9">
      <c r="C358" s="164"/>
      <c r="D358" s="63"/>
      <c r="E358" s="160"/>
      <c r="F358" s="45"/>
      <c r="G358" s="161"/>
      <c r="H358" s="36"/>
      <c r="I358" s="36"/>
    </row>
    <row r="359" spans="3:9">
      <c r="C359" s="164"/>
      <c r="D359" s="63"/>
      <c r="E359" s="160"/>
      <c r="F359" s="45"/>
      <c r="G359" s="161"/>
      <c r="H359" s="36"/>
      <c r="I359" s="36"/>
    </row>
    <row r="360" spans="3:9">
      <c r="C360" s="164"/>
      <c r="D360" s="63"/>
      <c r="E360" s="160"/>
      <c r="F360" s="45"/>
      <c r="G360" s="161"/>
      <c r="H360" s="36"/>
      <c r="I360" s="36"/>
    </row>
    <row r="361" spans="3:9">
      <c r="C361" s="164"/>
      <c r="D361" s="63"/>
      <c r="E361" s="160"/>
      <c r="F361" s="45"/>
      <c r="G361" s="161"/>
      <c r="H361" s="36"/>
      <c r="I361" s="36"/>
    </row>
    <row r="362" spans="3:9">
      <c r="C362" s="164"/>
      <c r="D362" s="63"/>
      <c r="E362" s="160"/>
      <c r="F362" s="45"/>
      <c r="G362" s="161"/>
      <c r="H362" s="36"/>
      <c r="I362" s="36"/>
    </row>
    <row r="363" spans="3:9">
      <c r="C363" s="164"/>
      <c r="D363" s="63"/>
      <c r="E363" s="160"/>
      <c r="F363" s="45"/>
      <c r="G363" s="161"/>
      <c r="H363" s="36"/>
      <c r="I363" s="36"/>
    </row>
    <row r="364" spans="3:9">
      <c r="C364" s="164"/>
      <c r="D364" s="63"/>
      <c r="E364" s="160"/>
      <c r="F364" s="45"/>
      <c r="G364" s="161"/>
      <c r="H364" s="36"/>
      <c r="I364" s="36"/>
    </row>
    <row r="365" spans="3:9">
      <c r="C365" s="164"/>
      <c r="D365" s="63"/>
      <c r="E365" s="160"/>
      <c r="F365" s="45"/>
      <c r="G365" s="161"/>
      <c r="H365" s="36"/>
      <c r="I365" s="36"/>
    </row>
    <row r="366" spans="3:9">
      <c r="C366" s="164"/>
      <c r="D366" s="63"/>
      <c r="E366" s="160"/>
      <c r="F366" s="45"/>
      <c r="G366" s="161"/>
      <c r="H366" s="36"/>
      <c r="I366" s="36"/>
    </row>
    <row r="367" spans="3:9">
      <c r="C367" s="164"/>
      <c r="D367" s="63"/>
      <c r="E367" s="160"/>
      <c r="F367" s="45"/>
      <c r="G367" s="161"/>
      <c r="H367" s="36"/>
      <c r="I367" s="36"/>
    </row>
    <row r="368" spans="3:9">
      <c r="C368" s="164"/>
      <c r="D368" s="63"/>
      <c r="E368" s="160"/>
      <c r="F368" s="45"/>
      <c r="G368" s="161"/>
      <c r="H368" s="36"/>
      <c r="I368" s="36"/>
    </row>
    <row r="369" spans="3:9">
      <c r="C369" s="164"/>
      <c r="D369" s="63"/>
      <c r="E369" s="160"/>
      <c r="F369" s="45"/>
      <c r="G369" s="161"/>
      <c r="H369" s="36"/>
      <c r="I369" s="36"/>
    </row>
    <row r="370" spans="3:9">
      <c r="C370" s="164"/>
      <c r="D370" s="63"/>
      <c r="E370" s="160"/>
      <c r="F370" s="45"/>
      <c r="G370" s="161"/>
      <c r="H370" s="36"/>
      <c r="I370" s="36"/>
    </row>
    <row r="371" spans="3:9">
      <c r="C371" s="164"/>
      <c r="D371" s="63"/>
      <c r="E371" s="160"/>
      <c r="F371" s="45"/>
      <c r="G371" s="161"/>
      <c r="H371" s="36"/>
      <c r="I371" s="36"/>
    </row>
    <row r="372" spans="3:9">
      <c r="C372" s="164"/>
      <c r="D372" s="63"/>
      <c r="E372" s="160"/>
      <c r="F372" s="45"/>
      <c r="G372" s="161"/>
      <c r="H372" s="36"/>
      <c r="I372" s="36"/>
    </row>
    <row r="373" spans="3:9">
      <c r="C373" s="164"/>
      <c r="D373" s="63"/>
      <c r="E373" s="160"/>
      <c r="F373" s="45"/>
      <c r="G373" s="161"/>
      <c r="H373" s="36"/>
      <c r="I373" s="36"/>
    </row>
    <row r="374" spans="3:9">
      <c r="C374" s="164"/>
      <c r="D374" s="63"/>
      <c r="E374" s="160"/>
      <c r="F374" s="45"/>
      <c r="G374" s="161"/>
      <c r="H374" s="36"/>
      <c r="I374" s="36"/>
    </row>
    <row r="375" spans="3:9">
      <c r="C375" s="164"/>
      <c r="D375" s="63"/>
      <c r="E375" s="160"/>
      <c r="F375" s="45"/>
      <c r="G375" s="161"/>
      <c r="H375" s="36"/>
      <c r="I375" s="36"/>
    </row>
    <row r="376" spans="3:9">
      <c r="C376" s="164"/>
      <c r="D376" s="63"/>
      <c r="E376" s="160"/>
      <c r="F376" s="45"/>
      <c r="G376" s="161"/>
      <c r="H376" s="36"/>
      <c r="I376" s="36"/>
    </row>
    <row r="377" spans="3:9">
      <c r="C377" s="164"/>
      <c r="D377" s="63"/>
      <c r="E377" s="160"/>
      <c r="F377" s="45"/>
      <c r="G377" s="161"/>
      <c r="H377" s="36"/>
      <c r="I377" s="36"/>
    </row>
    <row r="378" spans="3:9">
      <c r="C378" s="164"/>
      <c r="D378" s="63"/>
      <c r="E378" s="160"/>
      <c r="F378" s="45"/>
      <c r="G378" s="161"/>
      <c r="H378" s="36"/>
      <c r="I378" s="36"/>
    </row>
    <row r="379" spans="3:9">
      <c r="C379" s="164"/>
      <c r="D379" s="63"/>
      <c r="E379" s="160"/>
      <c r="F379" s="45"/>
      <c r="G379" s="161"/>
      <c r="H379" s="36"/>
      <c r="I379" s="36"/>
    </row>
    <row r="380" spans="3:9">
      <c r="C380" s="164"/>
      <c r="D380" s="63"/>
      <c r="E380" s="160"/>
      <c r="F380" s="45"/>
      <c r="G380" s="161"/>
      <c r="H380" s="36"/>
      <c r="I380" s="36"/>
    </row>
    <row r="381" spans="3:9">
      <c r="C381" s="164"/>
      <c r="D381" s="63"/>
      <c r="E381" s="160"/>
      <c r="F381" s="45"/>
      <c r="G381" s="161"/>
      <c r="H381" s="36"/>
      <c r="I381" s="36"/>
    </row>
    <row r="382" spans="3:9">
      <c r="C382" s="164"/>
      <c r="D382" s="63"/>
      <c r="E382" s="160"/>
      <c r="F382" s="45"/>
      <c r="G382" s="161"/>
      <c r="H382" s="36"/>
      <c r="I382" s="36"/>
    </row>
    <row r="383" spans="3:9">
      <c r="C383" s="164"/>
      <c r="D383" s="63"/>
      <c r="E383" s="160"/>
      <c r="F383" s="45"/>
      <c r="G383" s="161"/>
      <c r="H383" s="36"/>
      <c r="I383" s="36"/>
    </row>
    <row r="384" spans="3:9">
      <c r="C384" s="164"/>
      <c r="D384" s="63"/>
      <c r="E384" s="160"/>
      <c r="F384" s="45"/>
      <c r="G384" s="161"/>
      <c r="H384" s="36"/>
      <c r="I384" s="36"/>
    </row>
    <row r="385" spans="3:9">
      <c r="C385" s="164"/>
      <c r="D385" s="63"/>
      <c r="E385" s="160"/>
      <c r="F385" s="45"/>
      <c r="G385" s="161"/>
      <c r="H385" s="36"/>
      <c r="I385" s="36"/>
    </row>
    <row r="386" spans="3:9">
      <c r="C386" s="164"/>
      <c r="D386" s="63"/>
      <c r="E386" s="160"/>
      <c r="F386" s="45"/>
      <c r="G386" s="161"/>
      <c r="H386" s="36"/>
      <c r="I386" s="36"/>
    </row>
    <row r="387" spans="3:9">
      <c r="C387" s="164"/>
      <c r="D387" s="63"/>
      <c r="E387" s="160"/>
      <c r="F387" s="45"/>
      <c r="G387" s="161"/>
      <c r="H387" s="36"/>
      <c r="I387" s="36"/>
    </row>
    <row r="388" spans="3:9">
      <c r="C388" s="164"/>
      <c r="D388" s="63"/>
      <c r="E388" s="160"/>
      <c r="F388" s="45"/>
      <c r="G388" s="161"/>
      <c r="H388" s="36"/>
      <c r="I388" s="36"/>
    </row>
    <row r="389" spans="3:9">
      <c r="C389" s="164"/>
      <c r="D389" s="63"/>
      <c r="E389" s="160"/>
      <c r="F389" s="45"/>
      <c r="G389" s="161"/>
      <c r="H389" s="36"/>
      <c r="I389" s="36"/>
    </row>
    <row r="390" spans="3:9">
      <c r="C390" s="164"/>
      <c r="D390" s="63"/>
      <c r="E390" s="160"/>
      <c r="F390" s="45"/>
      <c r="G390" s="161"/>
      <c r="H390" s="36"/>
      <c r="I390" s="36"/>
    </row>
    <row r="391" spans="3:9">
      <c r="C391" s="164"/>
      <c r="D391" s="63"/>
      <c r="E391" s="160"/>
      <c r="F391" s="45"/>
      <c r="G391" s="161"/>
      <c r="H391" s="36"/>
      <c r="I391" s="36"/>
    </row>
    <row r="392" spans="3:9">
      <c r="C392" s="164"/>
      <c r="D392" s="63"/>
      <c r="E392" s="160"/>
      <c r="F392" s="45"/>
      <c r="G392" s="161"/>
      <c r="H392" s="36"/>
      <c r="I392" s="36"/>
    </row>
    <row r="393" spans="3:9">
      <c r="C393" s="164"/>
      <c r="D393" s="63"/>
      <c r="E393" s="160"/>
      <c r="F393" s="45"/>
      <c r="G393" s="161"/>
      <c r="H393" s="36"/>
      <c r="I393" s="36"/>
    </row>
    <row r="394" spans="3:9">
      <c r="C394" s="164"/>
      <c r="D394" s="63"/>
      <c r="E394" s="160"/>
      <c r="F394" s="45"/>
      <c r="G394" s="161"/>
      <c r="H394" s="36"/>
      <c r="I394" s="36"/>
    </row>
    <row r="395" spans="3:9">
      <c r="C395" s="164"/>
      <c r="D395" s="63"/>
      <c r="E395" s="160"/>
      <c r="F395" s="45"/>
      <c r="G395" s="161"/>
      <c r="H395" s="36"/>
      <c r="I395" s="36"/>
    </row>
    <row r="396" spans="3:9">
      <c r="C396" s="164"/>
      <c r="D396" s="63"/>
      <c r="E396" s="160"/>
      <c r="F396" s="45"/>
      <c r="G396" s="161"/>
      <c r="H396" s="36"/>
      <c r="I396" s="36"/>
    </row>
    <row r="397" spans="3:9">
      <c r="C397" s="164"/>
      <c r="D397" s="63"/>
      <c r="E397" s="160"/>
      <c r="F397" s="45"/>
      <c r="G397" s="161"/>
      <c r="H397" s="36"/>
      <c r="I397" s="36"/>
    </row>
    <row r="398" spans="3:9">
      <c r="C398" s="164"/>
      <c r="D398" s="63"/>
      <c r="E398" s="160"/>
      <c r="F398" s="45"/>
      <c r="G398" s="161"/>
      <c r="H398" s="36"/>
      <c r="I398" s="36"/>
    </row>
    <row r="399" spans="3:9">
      <c r="C399" s="164"/>
      <c r="D399" s="63"/>
      <c r="E399" s="160"/>
      <c r="F399" s="45"/>
      <c r="G399" s="161"/>
      <c r="H399" s="36"/>
      <c r="I399" s="36"/>
    </row>
    <row r="400" spans="3:9">
      <c r="C400" s="164"/>
      <c r="D400" s="63"/>
      <c r="E400" s="160"/>
      <c r="F400" s="45"/>
      <c r="G400" s="161"/>
      <c r="H400" s="36"/>
      <c r="I400" s="36"/>
    </row>
    <row r="401" spans="3:9">
      <c r="C401" s="164"/>
      <c r="D401" s="63"/>
      <c r="E401" s="160"/>
      <c r="F401" s="45"/>
      <c r="G401" s="161"/>
      <c r="H401" s="36"/>
      <c r="I401" s="36"/>
    </row>
    <row r="402" spans="3:9">
      <c r="C402" s="164"/>
      <c r="D402" s="63"/>
      <c r="E402" s="160"/>
      <c r="F402" s="45"/>
      <c r="G402" s="161"/>
      <c r="H402" s="36"/>
      <c r="I402" s="36"/>
    </row>
    <row r="403" spans="3:9">
      <c r="C403" s="164"/>
      <c r="D403" s="63"/>
      <c r="E403" s="160"/>
      <c r="F403" s="45"/>
      <c r="G403" s="161"/>
      <c r="H403" s="36"/>
      <c r="I403" s="36"/>
    </row>
    <row r="404" spans="3:9">
      <c r="C404" s="164"/>
      <c r="D404" s="63"/>
      <c r="E404" s="160"/>
      <c r="F404" s="45"/>
      <c r="G404" s="161"/>
      <c r="H404" s="36"/>
      <c r="I404" s="36"/>
    </row>
    <row r="405" spans="3:9">
      <c r="C405" s="164"/>
      <c r="D405" s="63"/>
      <c r="E405" s="160"/>
      <c r="F405" s="45"/>
      <c r="G405" s="161"/>
      <c r="H405" s="36"/>
      <c r="I405" s="36"/>
    </row>
    <row r="406" spans="3:9">
      <c r="C406" s="164"/>
      <c r="D406" s="63"/>
      <c r="E406" s="160"/>
      <c r="F406" s="45"/>
      <c r="G406" s="161"/>
      <c r="H406" s="36"/>
      <c r="I406" s="36"/>
    </row>
    <row r="407" spans="3:9">
      <c r="C407" s="164"/>
      <c r="D407" s="63"/>
      <c r="E407" s="160"/>
      <c r="F407" s="45"/>
      <c r="G407" s="161"/>
      <c r="H407" s="36"/>
      <c r="I407" s="36"/>
    </row>
    <row r="408" spans="3:9">
      <c r="C408" s="164"/>
      <c r="D408" s="63"/>
      <c r="E408" s="160"/>
      <c r="F408" s="45"/>
      <c r="G408" s="161"/>
      <c r="H408" s="36"/>
      <c r="I408" s="36"/>
    </row>
    <row r="409" spans="3:9">
      <c r="C409" s="164"/>
      <c r="D409" s="63"/>
      <c r="E409" s="160"/>
      <c r="F409" s="45"/>
      <c r="G409" s="161"/>
      <c r="H409" s="36"/>
      <c r="I409" s="36"/>
    </row>
    <row r="410" spans="3:9">
      <c r="C410" s="164"/>
      <c r="D410" s="63"/>
      <c r="E410" s="160"/>
      <c r="F410" s="45"/>
      <c r="G410" s="161"/>
      <c r="H410" s="36"/>
      <c r="I410" s="36"/>
    </row>
    <row r="411" spans="3:9">
      <c r="C411" s="164"/>
      <c r="D411" s="63"/>
      <c r="E411" s="160"/>
      <c r="F411" s="45"/>
      <c r="G411" s="161"/>
      <c r="H411" s="36"/>
      <c r="I411" s="36"/>
    </row>
    <row r="412" spans="3:9">
      <c r="C412" s="164"/>
      <c r="D412" s="63"/>
      <c r="E412" s="160"/>
      <c r="F412" s="45"/>
      <c r="G412" s="161"/>
      <c r="H412" s="36"/>
      <c r="I412" s="36"/>
    </row>
    <row r="413" spans="3:9">
      <c r="C413" s="164"/>
      <c r="D413" s="63"/>
      <c r="E413" s="160"/>
      <c r="F413" s="45"/>
      <c r="G413" s="161"/>
      <c r="H413" s="36"/>
      <c r="I413" s="36"/>
    </row>
    <row r="414" spans="3:9">
      <c r="C414" s="164"/>
      <c r="D414" s="63"/>
      <c r="E414" s="160"/>
      <c r="F414" s="45"/>
      <c r="G414" s="161"/>
      <c r="H414" s="36"/>
      <c r="I414" s="36"/>
    </row>
    <row r="415" spans="3:9">
      <c r="C415" s="164"/>
      <c r="D415" s="63"/>
      <c r="E415" s="160"/>
      <c r="F415" s="45"/>
      <c r="G415" s="161"/>
      <c r="H415" s="36"/>
      <c r="I415" s="36"/>
    </row>
    <row r="416" spans="3:9">
      <c r="C416" s="164"/>
      <c r="D416" s="63"/>
      <c r="E416" s="160"/>
      <c r="F416" s="45"/>
      <c r="G416" s="161"/>
      <c r="H416" s="36"/>
      <c r="I416" s="36"/>
    </row>
    <row r="417" spans="3:9">
      <c r="C417" s="164"/>
      <c r="D417" s="63"/>
      <c r="E417" s="160"/>
      <c r="F417" s="45"/>
      <c r="G417" s="161"/>
      <c r="H417" s="36"/>
      <c r="I417" s="36"/>
    </row>
    <row r="418" spans="3:9">
      <c r="C418" s="164"/>
      <c r="D418" s="63"/>
      <c r="E418" s="160"/>
      <c r="F418" s="45"/>
      <c r="G418" s="161"/>
      <c r="H418" s="36"/>
      <c r="I418" s="36"/>
    </row>
    <row r="419" spans="3:9">
      <c r="C419" s="164"/>
      <c r="D419" s="63"/>
      <c r="E419" s="160"/>
      <c r="F419" s="45"/>
      <c r="G419" s="161"/>
      <c r="H419" s="36"/>
      <c r="I419" s="36"/>
    </row>
    <row r="420" spans="3:9">
      <c r="C420" s="164"/>
      <c r="D420" s="63"/>
      <c r="E420" s="160"/>
      <c r="F420" s="45"/>
      <c r="G420" s="161"/>
      <c r="H420" s="36"/>
      <c r="I420" s="36"/>
    </row>
    <row r="421" spans="3:9">
      <c r="C421" s="164"/>
      <c r="D421" s="63"/>
      <c r="E421" s="160"/>
      <c r="F421" s="45"/>
      <c r="G421" s="161"/>
      <c r="H421" s="36"/>
      <c r="I421" s="36"/>
    </row>
    <row r="422" spans="3:9">
      <c r="C422" s="164"/>
      <c r="D422" s="63"/>
      <c r="E422" s="160"/>
      <c r="F422" s="45"/>
      <c r="G422" s="161"/>
      <c r="H422" s="36"/>
      <c r="I422" s="36"/>
    </row>
    <row r="423" spans="3:9">
      <c r="C423" s="164"/>
      <c r="D423" s="63"/>
      <c r="E423" s="160"/>
      <c r="F423" s="45"/>
      <c r="G423" s="161"/>
      <c r="H423" s="36"/>
      <c r="I423" s="36"/>
    </row>
    <row r="424" spans="3:9">
      <c r="C424" s="164"/>
      <c r="D424" s="63"/>
      <c r="E424" s="160"/>
      <c r="F424" s="45"/>
      <c r="G424" s="161"/>
      <c r="H424" s="36"/>
      <c r="I424" s="36"/>
    </row>
    <row r="425" spans="3:9">
      <c r="C425" s="164"/>
      <c r="D425" s="63"/>
      <c r="E425" s="160"/>
      <c r="F425" s="45"/>
      <c r="G425" s="161"/>
      <c r="H425" s="36"/>
      <c r="I425" s="36"/>
    </row>
    <row r="426" spans="3:9">
      <c r="C426" s="164"/>
      <c r="D426" s="63"/>
      <c r="E426" s="160"/>
      <c r="F426" s="45"/>
      <c r="G426" s="161"/>
      <c r="H426" s="36"/>
      <c r="I426" s="36"/>
    </row>
    <row r="427" spans="3:9">
      <c r="C427" s="164"/>
      <c r="D427" s="63"/>
      <c r="E427" s="160"/>
      <c r="F427" s="45"/>
      <c r="G427" s="161"/>
      <c r="H427" s="36"/>
      <c r="I427" s="36"/>
    </row>
    <row r="428" spans="3:9">
      <c r="C428" s="164"/>
      <c r="D428" s="63"/>
      <c r="E428" s="160"/>
      <c r="F428" s="45"/>
      <c r="G428" s="161"/>
      <c r="H428" s="36"/>
      <c r="I428" s="36"/>
    </row>
    <row r="429" spans="3:9">
      <c r="C429" s="164"/>
      <c r="D429" s="63"/>
      <c r="E429" s="160"/>
      <c r="F429" s="45"/>
      <c r="G429" s="161"/>
      <c r="H429" s="36"/>
      <c r="I429" s="36"/>
    </row>
    <row r="430" spans="3:9">
      <c r="C430" s="164"/>
      <c r="D430" s="63"/>
      <c r="E430" s="160"/>
      <c r="F430" s="45"/>
      <c r="G430" s="161"/>
      <c r="H430" s="36"/>
      <c r="I430" s="36"/>
    </row>
    <row r="431" spans="3:9">
      <c r="C431" s="164"/>
      <c r="D431" s="63"/>
      <c r="E431" s="160"/>
      <c r="F431" s="45"/>
      <c r="G431" s="161"/>
      <c r="H431" s="36"/>
      <c r="I431" s="36"/>
    </row>
    <row r="432" spans="3:9">
      <c r="C432" s="164"/>
      <c r="D432" s="63"/>
      <c r="E432" s="160"/>
      <c r="F432" s="45"/>
      <c r="G432" s="161"/>
      <c r="H432" s="36"/>
      <c r="I432" s="36"/>
    </row>
    <row r="433" spans="3:9">
      <c r="C433" s="164"/>
      <c r="D433" s="63"/>
      <c r="E433" s="160"/>
      <c r="F433" s="45"/>
      <c r="G433" s="161"/>
      <c r="H433" s="36"/>
      <c r="I433" s="36"/>
    </row>
    <row r="434" spans="3:9">
      <c r="C434" s="164"/>
      <c r="D434" s="63"/>
      <c r="E434" s="160"/>
      <c r="F434" s="45"/>
      <c r="G434" s="161"/>
      <c r="H434" s="36"/>
      <c r="I434" s="36"/>
    </row>
    <row r="435" spans="3:9">
      <c r="C435" s="164"/>
      <c r="D435" s="63"/>
      <c r="E435" s="160"/>
      <c r="F435" s="45"/>
      <c r="G435" s="161"/>
      <c r="H435" s="36"/>
      <c r="I435" s="36"/>
    </row>
    <row r="436" spans="3:9">
      <c r="C436" s="164"/>
      <c r="D436" s="63"/>
      <c r="E436" s="160"/>
      <c r="F436" s="45"/>
      <c r="G436" s="161"/>
      <c r="H436" s="36"/>
      <c r="I436" s="36"/>
    </row>
    <row r="437" spans="3:9">
      <c r="C437" s="164"/>
      <c r="D437" s="63"/>
      <c r="E437" s="160"/>
      <c r="F437" s="45"/>
      <c r="G437" s="161"/>
      <c r="H437" s="36"/>
      <c r="I437" s="36"/>
    </row>
    <row r="438" spans="3:9">
      <c r="C438" s="164"/>
      <c r="D438" s="63"/>
      <c r="E438" s="160"/>
      <c r="F438" s="45"/>
      <c r="G438" s="161"/>
      <c r="H438" s="36"/>
      <c r="I438" s="36"/>
    </row>
    <row r="439" spans="3:9">
      <c r="C439" s="164"/>
      <c r="D439" s="63"/>
      <c r="E439" s="160"/>
      <c r="F439" s="45"/>
      <c r="G439" s="161"/>
      <c r="H439" s="36"/>
      <c r="I439" s="36"/>
    </row>
    <row r="440" spans="3:9">
      <c r="C440" s="164"/>
      <c r="D440" s="63"/>
      <c r="E440" s="160"/>
      <c r="F440" s="45"/>
      <c r="G440" s="161"/>
      <c r="H440" s="36"/>
      <c r="I440" s="36"/>
    </row>
    <row r="441" spans="3:9">
      <c r="C441" s="164"/>
      <c r="D441" s="63"/>
      <c r="E441" s="160"/>
      <c r="F441" s="45"/>
      <c r="G441" s="161"/>
      <c r="H441" s="36"/>
      <c r="I441" s="36"/>
    </row>
    <row r="442" spans="3:9">
      <c r="C442" s="164"/>
      <c r="D442" s="63"/>
      <c r="E442" s="160"/>
      <c r="F442" s="45"/>
      <c r="G442" s="161"/>
      <c r="H442" s="36"/>
      <c r="I442" s="36"/>
    </row>
    <row r="443" spans="3:9">
      <c r="C443" s="164"/>
      <c r="D443" s="63"/>
      <c r="E443" s="160"/>
      <c r="F443" s="45"/>
      <c r="G443" s="161"/>
      <c r="H443" s="36"/>
      <c r="I443" s="36"/>
    </row>
    <row r="444" spans="3:9">
      <c r="C444" s="164"/>
      <c r="D444" s="63"/>
      <c r="E444" s="160"/>
      <c r="F444" s="45"/>
      <c r="G444" s="161"/>
      <c r="H444" s="36"/>
      <c r="I444" s="36"/>
    </row>
    <row r="445" spans="3:9">
      <c r="C445" s="164"/>
      <c r="D445" s="63"/>
      <c r="E445" s="160"/>
      <c r="F445" s="45"/>
      <c r="G445" s="161"/>
      <c r="H445" s="36"/>
      <c r="I445" s="36"/>
    </row>
    <row r="446" spans="3:9">
      <c r="C446" s="164"/>
      <c r="D446" s="63"/>
      <c r="E446" s="160"/>
      <c r="F446" s="45"/>
      <c r="G446" s="161"/>
      <c r="H446" s="36"/>
      <c r="I446" s="36"/>
    </row>
    <row r="447" spans="3:9">
      <c r="C447" s="164"/>
      <c r="D447" s="63"/>
      <c r="E447" s="160"/>
      <c r="F447" s="45"/>
      <c r="G447" s="161"/>
      <c r="H447" s="36"/>
      <c r="I447" s="36"/>
    </row>
    <row r="448" spans="3:9">
      <c r="C448" s="164"/>
      <c r="D448" s="63"/>
      <c r="E448" s="160"/>
      <c r="F448" s="45"/>
      <c r="G448" s="161"/>
      <c r="H448" s="36"/>
      <c r="I448" s="36"/>
    </row>
    <row r="449" spans="3:9">
      <c r="C449" s="164"/>
      <c r="D449" s="63"/>
      <c r="E449" s="160"/>
      <c r="F449" s="45"/>
      <c r="G449" s="161"/>
      <c r="H449" s="36"/>
      <c r="I449" s="36"/>
    </row>
    <row r="450" spans="3:9">
      <c r="C450" s="164"/>
      <c r="D450" s="63"/>
      <c r="E450" s="160"/>
      <c r="F450" s="45"/>
      <c r="G450" s="161"/>
      <c r="H450" s="36"/>
      <c r="I450" s="36"/>
    </row>
    <row r="451" spans="3:9">
      <c r="C451" s="164"/>
      <c r="D451" s="63"/>
      <c r="E451" s="160"/>
      <c r="F451" s="45"/>
      <c r="G451" s="161"/>
      <c r="H451" s="36"/>
      <c r="I451" s="36"/>
    </row>
    <row r="452" spans="3:9">
      <c r="C452" s="164"/>
      <c r="D452" s="63"/>
      <c r="E452" s="160"/>
      <c r="F452" s="45"/>
      <c r="G452" s="161"/>
      <c r="H452" s="36"/>
      <c r="I452" s="36"/>
    </row>
    <row r="453" spans="3:9">
      <c r="C453" s="164"/>
      <c r="D453" s="63"/>
      <c r="E453" s="160"/>
      <c r="F453" s="45"/>
      <c r="G453" s="161"/>
      <c r="H453" s="36"/>
      <c r="I453" s="36"/>
    </row>
    <row r="454" spans="3:9">
      <c r="C454" s="164"/>
      <c r="D454" s="63"/>
      <c r="E454" s="160"/>
      <c r="F454" s="45"/>
      <c r="G454" s="161"/>
      <c r="H454" s="36"/>
      <c r="I454" s="36"/>
    </row>
    <row r="455" spans="3:9">
      <c r="C455" s="164"/>
      <c r="D455" s="63"/>
      <c r="E455" s="160"/>
      <c r="F455" s="45"/>
      <c r="G455" s="161"/>
      <c r="H455" s="36"/>
      <c r="I455" s="36"/>
    </row>
    <row r="456" spans="3:9">
      <c r="C456" s="164"/>
      <c r="D456" s="63"/>
      <c r="E456" s="160"/>
      <c r="F456" s="45"/>
      <c r="G456" s="161"/>
      <c r="H456" s="36"/>
      <c r="I456" s="36"/>
    </row>
    <row r="457" spans="3:9">
      <c r="C457" s="164"/>
      <c r="D457" s="63"/>
      <c r="E457" s="160"/>
      <c r="F457" s="45"/>
      <c r="G457" s="161"/>
      <c r="H457" s="36"/>
      <c r="I457" s="36"/>
    </row>
    <row r="458" spans="3:9">
      <c r="C458" s="164"/>
      <c r="D458" s="63"/>
      <c r="E458" s="160"/>
      <c r="F458" s="45"/>
      <c r="G458" s="161"/>
      <c r="H458" s="36"/>
      <c r="I458" s="36"/>
    </row>
    <row r="459" spans="3:9">
      <c r="C459" s="164"/>
      <c r="D459" s="63"/>
      <c r="E459" s="160"/>
      <c r="F459" s="45"/>
      <c r="G459" s="161"/>
      <c r="H459" s="36"/>
      <c r="I459" s="36"/>
    </row>
    <row r="460" spans="3:9">
      <c r="C460" s="164"/>
      <c r="D460" s="63"/>
      <c r="E460" s="160"/>
      <c r="F460" s="45"/>
      <c r="G460" s="161"/>
      <c r="H460" s="36"/>
      <c r="I460" s="36"/>
    </row>
    <row r="461" spans="3:9">
      <c r="C461" s="164"/>
      <c r="D461" s="63"/>
      <c r="E461" s="160"/>
      <c r="F461" s="45"/>
      <c r="G461" s="161"/>
      <c r="H461" s="36"/>
      <c r="I461" s="36"/>
    </row>
    <row r="462" spans="3:9">
      <c r="C462" s="164"/>
      <c r="D462" s="63"/>
      <c r="E462" s="160"/>
      <c r="F462" s="45"/>
      <c r="G462" s="161"/>
      <c r="H462" s="36"/>
      <c r="I462" s="36"/>
    </row>
    <row r="463" spans="3:9">
      <c r="C463" s="164"/>
      <c r="D463" s="63"/>
      <c r="E463" s="160"/>
      <c r="F463" s="45"/>
      <c r="G463" s="161"/>
      <c r="H463" s="36"/>
      <c r="I463" s="36"/>
    </row>
    <row r="464" spans="3:9">
      <c r="C464" s="164"/>
      <c r="D464" s="63"/>
      <c r="E464" s="160"/>
      <c r="F464" s="45"/>
      <c r="G464" s="161"/>
      <c r="H464" s="36"/>
      <c r="I464" s="36"/>
    </row>
    <row r="465" spans="3:9">
      <c r="C465" s="164"/>
      <c r="D465" s="63"/>
      <c r="E465" s="160"/>
      <c r="F465" s="45"/>
      <c r="G465" s="161"/>
      <c r="H465" s="36"/>
      <c r="I465" s="36"/>
    </row>
    <row r="466" spans="3:9">
      <c r="C466" s="164"/>
      <c r="D466" s="63"/>
      <c r="E466" s="160"/>
      <c r="F466" s="45"/>
      <c r="G466" s="161"/>
      <c r="H466" s="36"/>
      <c r="I466" s="36"/>
    </row>
    <row r="467" spans="3:9">
      <c r="C467" s="164"/>
      <c r="D467" s="63"/>
      <c r="E467" s="160"/>
      <c r="F467" s="45"/>
      <c r="G467" s="161"/>
      <c r="H467" s="36"/>
      <c r="I467" s="36"/>
    </row>
    <row r="468" spans="3:9">
      <c r="C468" s="164"/>
      <c r="D468" s="63"/>
      <c r="E468" s="160"/>
      <c r="F468" s="45"/>
      <c r="G468" s="161"/>
      <c r="H468" s="36"/>
      <c r="I468" s="36"/>
    </row>
    <row r="469" spans="3:9">
      <c r="C469" s="164"/>
      <c r="D469" s="63"/>
      <c r="E469" s="160"/>
      <c r="F469" s="45"/>
      <c r="G469" s="161"/>
      <c r="H469" s="36"/>
      <c r="I469" s="36"/>
    </row>
    <row r="470" spans="3:9">
      <c r="C470" s="164"/>
      <c r="D470" s="63"/>
      <c r="E470" s="160"/>
      <c r="F470" s="45"/>
      <c r="G470" s="161"/>
      <c r="H470" s="36"/>
      <c r="I470" s="36"/>
    </row>
    <row r="471" spans="3:9">
      <c r="C471" s="164"/>
      <c r="D471" s="63"/>
      <c r="E471" s="160"/>
      <c r="F471" s="45"/>
      <c r="G471" s="161"/>
      <c r="H471" s="36"/>
      <c r="I471" s="36"/>
    </row>
    <row r="472" spans="3:9">
      <c r="C472" s="164"/>
      <c r="D472" s="63"/>
      <c r="E472" s="160"/>
      <c r="F472" s="45"/>
      <c r="G472" s="161"/>
      <c r="H472" s="36"/>
      <c r="I472" s="36"/>
    </row>
    <row r="473" spans="3:9">
      <c r="C473" s="164"/>
      <c r="D473" s="63"/>
      <c r="E473" s="160"/>
      <c r="F473" s="45"/>
      <c r="G473" s="161"/>
      <c r="H473" s="36"/>
      <c r="I473" s="36"/>
    </row>
    <row r="474" spans="3:9">
      <c r="C474" s="164"/>
      <c r="D474" s="63"/>
      <c r="E474" s="160"/>
      <c r="F474" s="45"/>
      <c r="G474" s="161"/>
      <c r="H474" s="36"/>
      <c r="I474" s="36"/>
    </row>
    <row r="475" spans="3:9">
      <c r="C475" s="164"/>
      <c r="D475" s="63"/>
      <c r="E475" s="160"/>
      <c r="F475" s="45"/>
      <c r="G475" s="161"/>
      <c r="H475" s="36"/>
      <c r="I475" s="36"/>
    </row>
    <row r="476" spans="3:9">
      <c r="C476" s="164"/>
      <c r="D476" s="63"/>
      <c r="E476" s="160"/>
      <c r="F476" s="45"/>
      <c r="G476" s="161"/>
      <c r="H476" s="36"/>
      <c r="I476" s="36"/>
    </row>
    <row r="477" spans="3:9">
      <c r="C477" s="164"/>
      <c r="D477" s="63"/>
      <c r="E477" s="160"/>
      <c r="F477" s="45"/>
      <c r="G477" s="161"/>
      <c r="H477" s="36"/>
      <c r="I477" s="36"/>
    </row>
    <row r="478" spans="3:9">
      <c r="C478" s="164"/>
      <c r="D478" s="63"/>
      <c r="E478" s="160"/>
      <c r="F478" s="45"/>
      <c r="G478" s="161"/>
      <c r="H478" s="36"/>
      <c r="I478" s="36"/>
    </row>
    <row r="479" spans="3:9">
      <c r="C479" s="164"/>
      <c r="D479" s="63"/>
      <c r="E479" s="160"/>
      <c r="F479" s="45"/>
      <c r="G479" s="161"/>
      <c r="H479" s="36"/>
      <c r="I479" s="36"/>
    </row>
    <row r="480" spans="3:9">
      <c r="C480" s="164"/>
      <c r="D480" s="63"/>
      <c r="E480" s="160"/>
      <c r="F480" s="45"/>
      <c r="G480" s="161"/>
      <c r="H480" s="36"/>
      <c r="I480" s="36"/>
    </row>
    <row r="481" spans="3:9">
      <c r="C481" s="164"/>
      <c r="D481" s="63"/>
      <c r="E481" s="160"/>
      <c r="F481" s="45"/>
      <c r="G481" s="161"/>
      <c r="H481" s="36"/>
      <c r="I481" s="36"/>
    </row>
    <row r="482" spans="3:9">
      <c r="C482" s="164"/>
      <c r="D482" s="63"/>
      <c r="E482" s="160"/>
      <c r="F482" s="45"/>
      <c r="G482" s="161"/>
      <c r="H482" s="36"/>
      <c r="I482" s="36"/>
    </row>
    <row r="483" spans="3:9">
      <c r="C483" s="164"/>
      <c r="D483" s="63"/>
      <c r="E483" s="160"/>
      <c r="F483" s="45"/>
      <c r="G483" s="161"/>
      <c r="H483" s="36"/>
      <c r="I483" s="36"/>
    </row>
    <row r="484" spans="3:9">
      <c r="C484" s="164"/>
      <c r="D484" s="63"/>
      <c r="E484" s="160"/>
      <c r="F484" s="45"/>
      <c r="G484" s="161"/>
      <c r="H484" s="36"/>
      <c r="I484" s="36"/>
    </row>
    <row r="485" spans="3:9">
      <c r="C485" s="164"/>
      <c r="D485" s="63"/>
      <c r="E485" s="160"/>
      <c r="F485" s="45"/>
      <c r="G485" s="161"/>
      <c r="H485" s="36"/>
      <c r="I485" s="36"/>
    </row>
    <row r="486" spans="3:9">
      <c r="C486" s="164"/>
      <c r="D486" s="63"/>
      <c r="E486" s="160"/>
      <c r="F486" s="45"/>
      <c r="G486" s="161"/>
      <c r="H486" s="36"/>
      <c r="I486" s="36"/>
    </row>
    <row r="487" spans="3:9">
      <c r="C487" s="164"/>
      <c r="D487" s="63"/>
      <c r="E487" s="160"/>
      <c r="F487" s="45"/>
      <c r="G487" s="161"/>
      <c r="H487" s="36"/>
      <c r="I487" s="36"/>
    </row>
    <row r="488" spans="3:9">
      <c r="C488" s="164"/>
      <c r="D488" s="63"/>
      <c r="E488" s="160"/>
      <c r="F488" s="45"/>
      <c r="G488" s="161"/>
      <c r="H488" s="36"/>
      <c r="I488" s="36"/>
    </row>
    <row r="489" spans="3:9">
      <c r="C489" s="164"/>
      <c r="D489" s="63"/>
      <c r="E489" s="160"/>
      <c r="F489" s="45"/>
      <c r="G489" s="161"/>
      <c r="H489" s="36"/>
      <c r="I489" s="36"/>
    </row>
    <row r="490" spans="3:9">
      <c r="C490" s="164"/>
      <c r="D490" s="63"/>
      <c r="E490" s="160"/>
      <c r="F490" s="45"/>
      <c r="G490" s="161"/>
      <c r="H490" s="36"/>
      <c r="I490" s="36"/>
    </row>
    <row r="491" spans="3:9">
      <c r="C491" s="164"/>
      <c r="D491" s="63"/>
      <c r="E491" s="160"/>
      <c r="F491" s="45"/>
      <c r="G491" s="161"/>
      <c r="H491" s="36"/>
      <c r="I491" s="36"/>
    </row>
    <row r="492" spans="3:9">
      <c r="C492" s="164"/>
      <c r="D492" s="63"/>
      <c r="E492" s="160"/>
      <c r="F492" s="45"/>
      <c r="G492" s="161"/>
      <c r="H492" s="36"/>
      <c r="I492" s="36"/>
    </row>
    <row r="493" spans="3:9">
      <c r="C493" s="164"/>
      <c r="D493" s="63"/>
      <c r="E493" s="160"/>
      <c r="F493" s="45"/>
      <c r="G493" s="161"/>
      <c r="H493" s="36"/>
      <c r="I493" s="36"/>
    </row>
    <row r="494" spans="3:9">
      <c r="C494" s="164"/>
      <c r="D494" s="63"/>
      <c r="E494" s="160"/>
      <c r="F494" s="45"/>
      <c r="G494" s="161"/>
      <c r="H494" s="36"/>
      <c r="I494" s="36"/>
    </row>
    <row r="495" spans="3:9">
      <c r="C495" s="164"/>
      <c r="D495" s="63"/>
      <c r="E495" s="160"/>
      <c r="F495" s="45"/>
      <c r="G495" s="161"/>
      <c r="H495" s="36"/>
      <c r="I495" s="36"/>
    </row>
    <row r="496" spans="3:9">
      <c r="C496" s="164"/>
      <c r="D496" s="63"/>
      <c r="E496" s="160"/>
      <c r="F496" s="45"/>
      <c r="G496" s="161"/>
      <c r="H496" s="36"/>
      <c r="I496" s="36"/>
    </row>
    <row r="497" spans="3:9">
      <c r="C497" s="164"/>
      <c r="D497" s="63"/>
      <c r="E497" s="160"/>
      <c r="F497" s="45"/>
      <c r="G497" s="161"/>
      <c r="H497" s="36"/>
      <c r="I497" s="36"/>
    </row>
    <row r="498" spans="3:9">
      <c r="C498" s="164"/>
      <c r="D498" s="63"/>
      <c r="E498" s="160"/>
      <c r="F498" s="45"/>
      <c r="G498" s="161"/>
      <c r="H498" s="36"/>
      <c r="I498" s="36"/>
    </row>
    <row r="499" spans="3:9">
      <c r="C499" s="164"/>
      <c r="D499" s="63"/>
      <c r="E499" s="160"/>
      <c r="F499" s="45"/>
      <c r="G499" s="161"/>
      <c r="H499" s="36"/>
      <c r="I499" s="36"/>
    </row>
    <row r="500" spans="3:9">
      <c r="C500" s="164"/>
      <c r="D500" s="63"/>
      <c r="E500" s="160"/>
      <c r="F500" s="45"/>
      <c r="G500" s="161"/>
      <c r="H500" s="36"/>
      <c r="I500" s="36"/>
    </row>
    <row r="501" spans="3:9">
      <c r="C501" s="164"/>
      <c r="D501" s="63"/>
      <c r="E501" s="160"/>
      <c r="F501" s="45"/>
      <c r="G501" s="161"/>
      <c r="H501" s="36"/>
      <c r="I501" s="36"/>
    </row>
    <row r="502" spans="3:9">
      <c r="C502" s="164"/>
      <c r="D502" s="63"/>
      <c r="E502" s="160"/>
      <c r="F502" s="45"/>
      <c r="G502" s="161"/>
      <c r="H502" s="36"/>
      <c r="I502" s="36"/>
    </row>
    <row r="503" spans="3:9">
      <c r="C503" s="164"/>
      <c r="D503" s="63"/>
      <c r="E503" s="160"/>
      <c r="F503" s="45"/>
      <c r="G503" s="161"/>
      <c r="H503" s="36"/>
      <c r="I503" s="36"/>
    </row>
    <row r="504" spans="3:9">
      <c r="C504" s="164"/>
      <c r="D504" s="63"/>
      <c r="E504" s="160"/>
      <c r="F504" s="45"/>
      <c r="G504" s="161"/>
      <c r="H504" s="36"/>
      <c r="I504" s="36"/>
    </row>
    <row r="505" spans="3:9">
      <c r="C505" s="164"/>
      <c r="D505" s="63"/>
      <c r="E505" s="160"/>
      <c r="F505" s="45"/>
      <c r="G505" s="161"/>
      <c r="H505" s="36"/>
      <c r="I505" s="36"/>
    </row>
    <row r="506" spans="3:9">
      <c r="C506" s="164"/>
      <c r="D506" s="63"/>
      <c r="E506" s="160"/>
      <c r="F506" s="45"/>
      <c r="G506" s="161"/>
      <c r="H506" s="36"/>
      <c r="I506" s="36"/>
    </row>
    <row r="507" spans="3:9">
      <c r="C507" s="164"/>
      <c r="D507" s="63"/>
      <c r="E507" s="160"/>
      <c r="F507" s="45"/>
      <c r="G507" s="161"/>
      <c r="H507" s="36"/>
      <c r="I507" s="36"/>
    </row>
    <row r="508" spans="3:9">
      <c r="C508" s="164"/>
      <c r="D508" s="63"/>
      <c r="E508" s="160"/>
      <c r="F508" s="45"/>
      <c r="G508" s="161"/>
      <c r="H508" s="36"/>
      <c r="I508" s="36"/>
    </row>
    <row r="509" spans="3:9">
      <c r="C509" s="164"/>
      <c r="D509" s="63"/>
      <c r="E509" s="160"/>
      <c r="F509" s="45"/>
      <c r="G509" s="161"/>
      <c r="H509" s="36"/>
      <c r="I509" s="36"/>
    </row>
    <row r="510" spans="3:9">
      <c r="C510" s="164"/>
      <c r="D510" s="63"/>
      <c r="E510" s="160"/>
      <c r="F510" s="45"/>
      <c r="G510" s="161"/>
      <c r="H510" s="36"/>
      <c r="I510" s="36"/>
    </row>
    <row r="511" spans="3:9">
      <c r="C511" s="164"/>
      <c r="D511" s="63"/>
      <c r="E511" s="160"/>
      <c r="F511" s="45"/>
      <c r="G511" s="161"/>
      <c r="H511" s="36"/>
      <c r="I511" s="36"/>
    </row>
    <row r="512" spans="3:9">
      <c r="C512" s="164"/>
      <c r="D512" s="63"/>
      <c r="E512" s="160"/>
      <c r="F512" s="45"/>
      <c r="G512" s="161"/>
      <c r="H512" s="36"/>
      <c r="I512" s="36"/>
    </row>
    <row r="513" spans="3:9">
      <c r="C513" s="164"/>
      <c r="D513" s="63"/>
      <c r="E513" s="160"/>
      <c r="F513" s="45"/>
      <c r="G513" s="161"/>
      <c r="H513" s="36"/>
      <c r="I513" s="36"/>
    </row>
    <row r="514" spans="3:9">
      <c r="C514" s="164"/>
      <c r="D514" s="63"/>
      <c r="E514" s="160"/>
      <c r="F514" s="45"/>
      <c r="G514" s="161"/>
      <c r="H514" s="36"/>
      <c r="I514" s="36"/>
    </row>
    <row r="515" spans="3:9">
      <c r="C515" s="164"/>
      <c r="D515" s="63"/>
      <c r="E515" s="160"/>
      <c r="F515" s="45"/>
      <c r="G515" s="161"/>
      <c r="H515" s="36"/>
      <c r="I515" s="36"/>
    </row>
    <row r="516" spans="3:9">
      <c r="C516" s="164"/>
      <c r="D516" s="63"/>
      <c r="E516" s="160"/>
      <c r="F516" s="45"/>
      <c r="G516" s="161"/>
      <c r="H516" s="36"/>
      <c r="I516" s="36"/>
    </row>
    <row r="517" spans="3:9">
      <c r="C517" s="164"/>
      <c r="D517" s="63"/>
      <c r="E517" s="160"/>
      <c r="F517" s="45"/>
      <c r="G517" s="161"/>
      <c r="H517" s="36"/>
      <c r="I517" s="36"/>
    </row>
    <row r="518" spans="3:9">
      <c r="C518" s="164"/>
      <c r="D518" s="63"/>
      <c r="E518" s="160"/>
      <c r="F518" s="45"/>
      <c r="G518" s="161"/>
      <c r="H518" s="36"/>
      <c r="I518" s="36"/>
    </row>
    <row r="519" spans="3:9">
      <c r="C519" s="164"/>
      <c r="D519" s="63"/>
      <c r="E519" s="160"/>
      <c r="F519" s="45"/>
      <c r="G519" s="161"/>
      <c r="H519" s="36"/>
      <c r="I519" s="36"/>
    </row>
    <row r="520" spans="3:9">
      <c r="C520" s="164"/>
      <c r="D520" s="63"/>
      <c r="E520" s="160"/>
      <c r="F520" s="45"/>
      <c r="G520" s="161"/>
      <c r="H520" s="36"/>
      <c r="I520" s="36"/>
    </row>
    <row r="521" spans="3:9">
      <c r="C521" s="164"/>
      <c r="D521" s="63"/>
      <c r="E521" s="160"/>
      <c r="F521" s="45"/>
      <c r="G521" s="161"/>
      <c r="H521" s="36"/>
      <c r="I521" s="36"/>
    </row>
    <row r="522" spans="3:9">
      <c r="C522" s="164"/>
      <c r="D522" s="63"/>
      <c r="E522" s="160"/>
      <c r="F522" s="45"/>
      <c r="G522" s="161"/>
      <c r="H522" s="36"/>
      <c r="I522" s="36"/>
    </row>
    <row r="523" spans="3:9">
      <c r="C523" s="164"/>
      <c r="D523" s="63"/>
      <c r="E523" s="160"/>
      <c r="F523" s="45"/>
      <c r="G523" s="161"/>
      <c r="H523" s="36"/>
      <c r="I523" s="36"/>
    </row>
    <row r="524" spans="3:9">
      <c r="C524" s="164"/>
      <c r="D524" s="63"/>
      <c r="E524" s="160"/>
      <c r="F524" s="45"/>
      <c r="G524" s="161"/>
      <c r="H524" s="36"/>
      <c r="I524" s="36"/>
    </row>
    <row r="525" spans="3:9">
      <c r="C525" s="164"/>
      <c r="D525" s="63"/>
      <c r="E525" s="160"/>
      <c r="F525" s="45"/>
      <c r="G525" s="161"/>
      <c r="H525" s="36"/>
      <c r="I525" s="36"/>
    </row>
    <row r="526" spans="3:9">
      <c r="C526" s="164"/>
      <c r="D526" s="63"/>
      <c r="E526" s="160"/>
      <c r="F526" s="45"/>
      <c r="G526" s="161"/>
      <c r="H526" s="36"/>
      <c r="I526" s="36"/>
    </row>
    <row r="527" spans="3:9">
      <c r="C527" s="164"/>
      <c r="D527" s="63"/>
      <c r="E527" s="160"/>
      <c r="F527" s="45"/>
      <c r="G527" s="161"/>
      <c r="H527" s="36"/>
      <c r="I527" s="36"/>
    </row>
    <row r="528" spans="3:9">
      <c r="C528" s="164"/>
      <c r="D528" s="63"/>
      <c r="E528" s="160"/>
      <c r="F528" s="45"/>
      <c r="G528" s="161"/>
      <c r="H528" s="36"/>
      <c r="I528" s="36"/>
    </row>
    <row r="529" spans="3:9">
      <c r="C529" s="164"/>
      <c r="D529" s="63"/>
      <c r="E529" s="160"/>
      <c r="F529" s="45"/>
      <c r="G529" s="161"/>
      <c r="H529" s="36"/>
      <c r="I529" s="36"/>
    </row>
    <row r="530" spans="3:9">
      <c r="C530" s="164"/>
      <c r="D530" s="63"/>
      <c r="E530" s="160"/>
      <c r="F530" s="45"/>
      <c r="G530" s="161"/>
      <c r="H530" s="36"/>
      <c r="I530" s="36"/>
    </row>
    <row r="531" spans="3:9">
      <c r="C531" s="164"/>
      <c r="D531" s="63"/>
      <c r="E531" s="160"/>
      <c r="F531" s="45"/>
      <c r="G531" s="161"/>
      <c r="H531" s="36"/>
      <c r="I531" s="36"/>
    </row>
    <row r="532" spans="3:9">
      <c r="C532" s="164"/>
      <c r="D532" s="63"/>
      <c r="E532" s="160"/>
      <c r="F532" s="45"/>
      <c r="G532" s="161"/>
      <c r="H532" s="36"/>
      <c r="I532" s="36"/>
    </row>
    <row r="533" spans="3:9">
      <c r="C533" s="164"/>
      <c r="D533" s="63"/>
      <c r="E533" s="160"/>
      <c r="F533" s="45"/>
      <c r="G533" s="161"/>
      <c r="H533" s="36"/>
      <c r="I533" s="36"/>
    </row>
    <row r="534" spans="3:9">
      <c r="C534" s="164"/>
      <c r="D534" s="63"/>
      <c r="E534" s="160"/>
      <c r="F534" s="45"/>
      <c r="G534" s="161"/>
      <c r="H534" s="36"/>
      <c r="I534" s="36"/>
    </row>
    <row r="535" spans="3:9">
      <c r="C535" s="164"/>
      <c r="D535" s="63"/>
      <c r="E535" s="160"/>
      <c r="F535" s="45"/>
      <c r="G535" s="161"/>
      <c r="H535" s="36"/>
      <c r="I535" s="36"/>
    </row>
    <row r="536" spans="3:9">
      <c r="C536" s="164"/>
      <c r="D536" s="63"/>
      <c r="E536" s="160"/>
      <c r="F536" s="45"/>
      <c r="G536" s="161"/>
      <c r="H536" s="36"/>
      <c r="I536" s="36"/>
    </row>
    <row r="537" spans="3:9">
      <c r="C537" s="164"/>
      <c r="D537" s="63"/>
      <c r="E537" s="160"/>
      <c r="F537" s="45"/>
      <c r="G537" s="161"/>
      <c r="H537" s="36"/>
      <c r="I537" s="36"/>
    </row>
    <row r="538" spans="3:9">
      <c r="C538" s="164"/>
      <c r="D538" s="63"/>
      <c r="E538" s="160"/>
      <c r="F538" s="45"/>
      <c r="G538" s="161"/>
      <c r="H538" s="36"/>
      <c r="I538" s="36"/>
    </row>
    <row r="539" spans="3:9">
      <c r="C539" s="164"/>
      <c r="D539" s="63"/>
      <c r="E539" s="160"/>
      <c r="F539" s="45"/>
      <c r="G539" s="161"/>
      <c r="H539" s="36"/>
      <c r="I539" s="36"/>
    </row>
    <row r="540" spans="3:9">
      <c r="C540" s="164"/>
      <c r="D540" s="63"/>
      <c r="E540" s="160"/>
      <c r="F540" s="45"/>
      <c r="G540" s="161"/>
      <c r="H540" s="36"/>
      <c r="I540" s="36"/>
    </row>
    <row r="541" spans="3:9">
      <c r="C541" s="164"/>
      <c r="D541" s="63"/>
      <c r="E541" s="160"/>
      <c r="F541" s="45"/>
      <c r="G541" s="161"/>
      <c r="H541" s="36"/>
      <c r="I541" s="36"/>
    </row>
    <row r="542" spans="3:9">
      <c r="C542" s="164"/>
      <c r="D542" s="63"/>
      <c r="E542" s="160"/>
      <c r="F542" s="45"/>
      <c r="G542" s="161"/>
      <c r="H542" s="36"/>
      <c r="I542" s="36"/>
    </row>
    <row r="543" spans="3:9">
      <c r="C543" s="164"/>
      <c r="D543" s="63"/>
      <c r="E543" s="160"/>
      <c r="F543" s="45"/>
      <c r="G543" s="161"/>
      <c r="H543" s="36"/>
      <c r="I543" s="36"/>
    </row>
    <row r="544" spans="3:9">
      <c r="C544" s="164"/>
      <c r="D544" s="63"/>
      <c r="E544" s="160"/>
      <c r="F544" s="45"/>
      <c r="G544" s="161"/>
      <c r="H544" s="36"/>
      <c r="I544" s="36"/>
    </row>
    <row r="545" spans="3:9">
      <c r="C545" s="164"/>
      <c r="D545" s="63"/>
      <c r="E545" s="160"/>
      <c r="F545" s="45"/>
      <c r="G545" s="161"/>
      <c r="H545" s="36"/>
      <c r="I545" s="36"/>
    </row>
    <row r="546" spans="3:9">
      <c r="C546" s="164"/>
      <c r="D546" s="63"/>
      <c r="E546" s="160"/>
      <c r="F546" s="45"/>
      <c r="G546" s="161"/>
      <c r="H546" s="36"/>
      <c r="I546" s="36"/>
    </row>
    <row r="547" spans="3:9">
      <c r="C547" s="164"/>
      <c r="D547" s="63"/>
      <c r="E547" s="160"/>
      <c r="F547" s="45"/>
      <c r="G547" s="161"/>
      <c r="H547" s="36"/>
      <c r="I547" s="36"/>
    </row>
    <row r="548" spans="3:9">
      <c r="C548" s="164"/>
      <c r="D548" s="63"/>
      <c r="E548" s="160"/>
      <c r="F548" s="45"/>
      <c r="G548" s="161"/>
      <c r="H548" s="36"/>
      <c r="I548" s="36"/>
    </row>
    <row r="549" spans="3:9">
      <c r="C549" s="164"/>
      <c r="D549" s="63"/>
      <c r="E549" s="160"/>
      <c r="F549" s="45"/>
      <c r="G549" s="161"/>
      <c r="H549" s="36"/>
      <c r="I549" s="36"/>
    </row>
    <row r="550" spans="3:9">
      <c r="C550" s="164"/>
      <c r="D550" s="63"/>
      <c r="E550" s="160"/>
      <c r="F550" s="45"/>
      <c r="G550" s="161"/>
      <c r="H550" s="36"/>
      <c r="I550" s="36"/>
    </row>
    <row r="551" spans="3:9">
      <c r="C551" s="164"/>
      <c r="D551" s="63"/>
      <c r="E551" s="160"/>
      <c r="F551" s="45"/>
      <c r="G551" s="161"/>
      <c r="H551" s="36"/>
      <c r="I551" s="36"/>
    </row>
    <row r="552" spans="3:9">
      <c r="C552" s="164"/>
      <c r="D552" s="63"/>
      <c r="E552" s="160"/>
      <c r="F552" s="45"/>
      <c r="G552" s="161"/>
      <c r="H552" s="36"/>
      <c r="I552" s="36"/>
    </row>
    <row r="553" spans="3:9">
      <c r="C553" s="164"/>
      <c r="D553" s="63"/>
      <c r="E553" s="160"/>
      <c r="F553" s="45"/>
      <c r="G553" s="161"/>
      <c r="H553" s="36"/>
      <c r="I553" s="36"/>
    </row>
    <row r="554" spans="3:9">
      <c r="C554" s="164"/>
      <c r="D554" s="63"/>
      <c r="E554" s="160"/>
      <c r="F554" s="45"/>
      <c r="G554" s="161"/>
      <c r="H554" s="36"/>
      <c r="I554" s="36"/>
    </row>
    <row r="555" spans="3:9">
      <c r="C555" s="164"/>
      <c r="D555" s="63"/>
      <c r="E555" s="160"/>
      <c r="F555" s="45"/>
      <c r="G555" s="161"/>
      <c r="H555" s="36"/>
      <c r="I555" s="36"/>
    </row>
    <row r="556" spans="3:9">
      <c r="C556" s="164"/>
      <c r="D556" s="63"/>
      <c r="E556" s="160"/>
      <c r="F556" s="45"/>
      <c r="G556" s="161"/>
      <c r="H556" s="36"/>
      <c r="I556" s="36"/>
    </row>
    <row r="557" spans="3:9">
      <c r="C557" s="164"/>
      <c r="D557" s="63"/>
      <c r="E557" s="160"/>
      <c r="F557" s="45"/>
      <c r="G557" s="161"/>
      <c r="H557" s="36"/>
      <c r="I557" s="36"/>
    </row>
    <row r="558" spans="3:9">
      <c r="C558" s="164"/>
      <c r="D558" s="63"/>
      <c r="E558" s="160"/>
      <c r="F558" s="45"/>
      <c r="G558" s="161"/>
      <c r="H558" s="36"/>
      <c r="I558" s="36"/>
    </row>
    <row r="559" spans="3:9">
      <c r="C559" s="164"/>
      <c r="D559" s="63"/>
      <c r="E559" s="160"/>
      <c r="F559" s="45"/>
      <c r="G559" s="161"/>
      <c r="H559" s="36"/>
      <c r="I559" s="36"/>
    </row>
    <row r="560" spans="3:9">
      <c r="C560" s="164"/>
      <c r="D560" s="63"/>
      <c r="E560" s="160"/>
      <c r="F560" s="45"/>
      <c r="G560" s="161"/>
      <c r="H560" s="36"/>
      <c r="I560" s="36"/>
    </row>
    <row r="561" spans="3:9">
      <c r="C561" s="164"/>
      <c r="D561" s="63"/>
      <c r="E561" s="160"/>
      <c r="F561" s="45"/>
      <c r="G561" s="161"/>
      <c r="H561" s="36"/>
      <c r="I561" s="36"/>
    </row>
    <row r="562" spans="3:9">
      <c r="C562" s="164"/>
      <c r="D562" s="63"/>
      <c r="E562" s="160"/>
      <c r="F562" s="45"/>
      <c r="G562" s="161"/>
      <c r="H562" s="36"/>
      <c r="I562" s="36"/>
    </row>
    <row r="563" spans="3:9">
      <c r="C563" s="164"/>
      <c r="D563" s="63"/>
      <c r="E563" s="160"/>
      <c r="F563" s="45"/>
      <c r="G563" s="161"/>
      <c r="H563" s="36"/>
      <c r="I563" s="36"/>
    </row>
    <row r="564" spans="3:9">
      <c r="C564" s="164"/>
      <c r="D564" s="63"/>
      <c r="E564" s="160"/>
      <c r="F564" s="45"/>
      <c r="G564" s="161"/>
      <c r="H564" s="36"/>
      <c r="I564" s="36"/>
    </row>
    <row r="565" spans="3:9">
      <c r="C565" s="164"/>
      <c r="D565" s="63"/>
      <c r="E565" s="160"/>
      <c r="F565" s="45"/>
      <c r="G565" s="161"/>
      <c r="H565" s="36"/>
      <c r="I565" s="36"/>
    </row>
    <row r="566" spans="3:9">
      <c r="C566" s="164"/>
      <c r="D566" s="63"/>
      <c r="E566" s="160"/>
      <c r="F566" s="45"/>
      <c r="G566" s="161"/>
      <c r="H566" s="36"/>
      <c r="I566" s="36"/>
    </row>
    <row r="567" spans="3:9">
      <c r="C567" s="164"/>
      <c r="D567" s="63"/>
      <c r="E567" s="160"/>
      <c r="F567" s="45"/>
      <c r="G567" s="161"/>
      <c r="H567" s="36"/>
      <c r="I567" s="36"/>
    </row>
    <row r="568" spans="3:9">
      <c r="C568" s="164"/>
      <c r="D568" s="63"/>
      <c r="E568" s="160"/>
      <c r="F568" s="45"/>
      <c r="G568" s="161"/>
      <c r="H568" s="36"/>
      <c r="I568" s="36"/>
    </row>
    <row r="569" spans="3:9">
      <c r="C569" s="164"/>
      <c r="D569" s="63"/>
      <c r="E569" s="160"/>
      <c r="F569" s="45"/>
      <c r="G569" s="161"/>
      <c r="H569" s="36"/>
      <c r="I569" s="36"/>
    </row>
    <row r="570" spans="3:9">
      <c r="C570" s="164"/>
      <c r="D570" s="63"/>
      <c r="E570" s="160"/>
      <c r="F570" s="45"/>
      <c r="G570" s="161"/>
      <c r="H570" s="36"/>
      <c r="I570" s="36"/>
    </row>
    <row r="571" spans="3:9">
      <c r="C571" s="164"/>
      <c r="D571" s="63"/>
      <c r="E571" s="160"/>
      <c r="F571" s="45"/>
      <c r="G571" s="161"/>
      <c r="H571" s="36"/>
      <c r="I571" s="36"/>
    </row>
    <row r="572" spans="3:9">
      <c r="C572" s="164"/>
      <c r="D572" s="63"/>
      <c r="E572" s="160"/>
      <c r="F572" s="45"/>
      <c r="G572" s="161"/>
      <c r="H572" s="36"/>
      <c r="I572" s="36"/>
    </row>
    <row r="573" spans="3:9">
      <c r="C573" s="164"/>
      <c r="D573" s="63"/>
      <c r="E573" s="160"/>
      <c r="F573" s="45"/>
      <c r="G573" s="161"/>
      <c r="H573" s="36"/>
      <c r="I573" s="36"/>
    </row>
    <row r="574" spans="3:9">
      <c r="C574" s="164"/>
      <c r="D574" s="63"/>
      <c r="E574" s="160"/>
      <c r="F574" s="45"/>
      <c r="G574" s="161"/>
      <c r="H574" s="36"/>
      <c r="I574" s="36"/>
    </row>
    <row r="575" spans="3:9">
      <c r="C575" s="164"/>
      <c r="D575" s="63"/>
      <c r="E575" s="160"/>
      <c r="F575" s="45"/>
      <c r="G575" s="161"/>
      <c r="H575" s="36"/>
      <c r="I575" s="36"/>
    </row>
    <row r="576" spans="3:9">
      <c r="C576" s="164"/>
      <c r="D576" s="63"/>
      <c r="E576" s="160"/>
      <c r="F576" s="45"/>
      <c r="G576" s="161"/>
      <c r="H576" s="36"/>
      <c r="I576" s="36"/>
    </row>
    <row r="577" spans="3:9">
      <c r="C577" s="164"/>
      <c r="D577" s="63"/>
      <c r="E577" s="160"/>
      <c r="F577" s="45"/>
      <c r="G577" s="161"/>
      <c r="H577" s="36"/>
      <c r="I577" s="36"/>
    </row>
    <row r="578" spans="3:9">
      <c r="C578" s="164"/>
      <c r="D578" s="63"/>
      <c r="E578" s="160"/>
      <c r="F578" s="45"/>
      <c r="G578" s="161"/>
      <c r="H578" s="36"/>
      <c r="I578" s="36"/>
    </row>
    <row r="579" spans="3:9">
      <c r="C579" s="164"/>
      <c r="D579" s="63"/>
      <c r="E579" s="160"/>
      <c r="F579" s="45"/>
      <c r="G579" s="161"/>
      <c r="H579" s="36"/>
      <c r="I579" s="36"/>
    </row>
    <row r="580" spans="3:9">
      <c r="C580" s="164"/>
      <c r="D580" s="63"/>
      <c r="E580" s="160"/>
      <c r="F580" s="45"/>
      <c r="G580" s="161"/>
      <c r="H580" s="36"/>
      <c r="I580" s="36"/>
    </row>
    <row r="581" spans="3:9">
      <c r="C581" s="164"/>
      <c r="D581" s="63"/>
      <c r="E581" s="160"/>
      <c r="F581" s="45"/>
      <c r="G581" s="161"/>
      <c r="H581" s="36"/>
      <c r="I581" s="36"/>
    </row>
    <row r="582" spans="3:9">
      <c r="C582" s="164"/>
      <c r="D582" s="63"/>
      <c r="E582" s="160"/>
      <c r="F582" s="45"/>
      <c r="G582" s="161"/>
      <c r="H582" s="36"/>
      <c r="I582" s="36"/>
    </row>
    <row r="583" spans="3:9">
      <c r="C583" s="164"/>
      <c r="D583" s="63"/>
      <c r="E583" s="160"/>
      <c r="F583" s="45"/>
      <c r="G583" s="161"/>
      <c r="H583" s="36"/>
      <c r="I583" s="36"/>
    </row>
    <row r="584" spans="3:9">
      <c r="C584" s="164"/>
      <c r="D584" s="63"/>
      <c r="E584" s="160"/>
      <c r="F584" s="45"/>
      <c r="G584" s="161"/>
      <c r="H584" s="36"/>
      <c r="I584" s="36"/>
    </row>
    <row r="585" spans="3:9">
      <c r="C585" s="164"/>
      <c r="D585" s="63"/>
      <c r="E585" s="160"/>
      <c r="F585" s="45"/>
      <c r="G585" s="161"/>
      <c r="H585" s="36"/>
      <c r="I585" s="36"/>
    </row>
    <row r="586" spans="3:9">
      <c r="C586" s="164"/>
      <c r="D586" s="63"/>
      <c r="E586" s="160"/>
      <c r="F586" s="45"/>
      <c r="G586" s="161"/>
      <c r="H586" s="36"/>
      <c r="I586" s="36"/>
    </row>
    <row r="587" spans="3:9">
      <c r="C587" s="164"/>
      <c r="D587" s="63"/>
      <c r="E587" s="160"/>
      <c r="F587" s="45"/>
      <c r="G587" s="161"/>
      <c r="H587" s="36"/>
      <c r="I587" s="36"/>
    </row>
    <row r="588" spans="3:9">
      <c r="C588" s="164"/>
      <c r="D588" s="63"/>
      <c r="E588" s="160"/>
      <c r="F588" s="45"/>
      <c r="G588" s="161"/>
      <c r="H588" s="36"/>
      <c r="I588" s="36"/>
    </row>
    <row r="589" spans="3:9">
      <c r="C589" s="164"/>
      <c r="D589" s="63"/>
      <c r="E589" s="160"/>
      <c r="F589" s="45"/>
      <c r="G589" s="161"/>
      <c r="H589" s="36"/>
      <c r="I589" s="36"/>
    </row>
    <row r="590" spans="3:9">
      <c r="C590" s="164"/>
      <c r="D590" s="63"/>
      <c r="E590" s="160"/>
      <c r="F590" s="45"/>
      <c r="G590" s="161"/>
      <c r="H590" s="36"/>
      <c r="I590" s="36"/>
    </row>
    <row r="591" spans="3:9">
      <c r="C591" s="164"/>
      <c r="D591" s="63"/>
      <c r="E591" s="160"/>
      <c r="F591" s="45"/>
      <c r="G591" s="161"/>
      <c r="H591" s="36"/>
      <c r="I591" s="36"/>
    </row>
    <row r="592" spans="3:9">
      <c r="C592" s="164"/>
      <c r="D592" s="63"/>
      <c r="E592" s="160"/>
      <c r="F592" s="45"/>
      <c r="G592" s="161"/>
      <c r="H592" s="36"/>
      <c r="I592" s="36"/>
    </row>
    <row r="593" spans="3:9">
      <c r="C593" s="164"/>
      <c r="D593" s="63"/>
      <c r="E593" s="160"/>
      <c r="F593" s="45"/>
      <c r="G593" s="161"/>
      <c r="H593" s="36"/>
      <c r="I593" s="36"/>
    </row>
    <row r="594" spans="3:9">
      <c r="C594" s="164"/>
      <c r="D594" s="63"/>
      <c r="E594" s="160"/>
      <c r="F594" s="45"/>
      <c r="G594" s="161"/>
      <c r="H594" s="36"/>
      <c r="I594" s="36"/>
    </row>
    <row r="595" spans="3:9">
      <c r="C595" s="164"/>
      <c r="D595" s="63"/>
      <c r="E595" s="160"/>
      <c r="F595" s="45"/>
      <c r="G595" s="161"/>
      <c r="H595" s="36"/>
      <c r="I595" s="36"/>
    </row>
    <row r="596" spans="3:9">
      <c r="C596" s="164"/>
      <c r="D596" s="63"/>
      <c r="E596" s="160"/>
      <c r="F596" s="45"/>
      <c r="G596" s="161"/>
      <c r="H596" s="36"/>
      <c r="I596" s="36"/>
    </row>
    <row r="597" spans="3:9">
      <c r="C597" s="164"/>
      <c r="D597" s="63"/>
      <c r="E597" s="160"/>
      <c r="F597" s="45"/>
      <c r="G597" s="161"/>
      <c r="H597" s="36"/>
      <c r="I597" s="36"/>
    </row>
    <row r="598" spans="3:9">
      <c r="C598" s="164"/>
      <c r="D598" s="63"/>
      <c r="E598" s="160"/>
      <c r="F598" s="45"/>
      <c r="G598" s="161"/>
      <c r="H598" s="36"/>
      <c r="I598" s="36"/>
    </row>
    <row r="599" spans="3:9">
      <c r="C599" s="164"/>
      <c r="D599" s="63"/>
      <c r="E599" s="160"/>
      <c r="F599" s="45"/>
      <c r="G599" s="161"/>
      <c r="H599" s="36"/>
      <c r="I599" s="36"/>
    </row>
    <row r="600" spans="3:9">
      <c r="C600" s="164"/>
      <c r="D600" s="63"/>
      <c r="E600" s="160"/>
      <c r="F600" s="45"/>
      <c r="G600" s="161"/>
      <c r="H600" s="36"/>
      <c r="I600" s="36"/>
    </row>
    <row r="601" spans="3:9">
      <c r="C601" s="164"/>
      <c r="D601" s="63"/>
      <c r="E601" s="160"/>
      <c r="F601" s="45"/>
      <c r="G601" s="161"/>
      <c r="H601" s="36"/>
      <c r="I601" s="36"/>
    </row>
    <row r="602" spans="3:9">
      <c r="C602" s="164"/>
      <c r="D602" s="63"/>
      <c r="E602" s="160"/>
      <c r="F602" s="45"/>
      <c r="G602" s="161"/>
      <c r="H602" s="36"/>
      <c r="I602" s="36"/>
    </row>
    <row r="603" spans="3:9">
      <c r="C603" s="164"/>
      <c r="D603" s="63"/>
      <c r="E603" s="160"/>
      <c r="F603" s="45"/>
      <c r="G603" s="161"/>
      <c r="H603" s="36"/>
      <c r="I603" s="36"/>
    </row>
    <row r="604" spans="3:9">
      <c r="C604" s="164"/>
      <c r="D604" s="63"/>
      <c r="E604" s="160"/>
      <c r="F604" s="45"/>
      <c r="G604" s="161"/>
      <c r="H604" s="36"/>
      <c r="I604" s="36"/>
    </row>
    <row r="605" spans="3:9">
      <c r="C605" s="164"/>
      <c r="D605" s="63"/>
      <c r="E605" s="160"/>
      <c r="F605" s="45"/>
      <c r="G605" s="161"/>
      <c r="H605" s="36"/>
      <c r="I605" s="36"/>
    </row>
    <row r="606" spans="3:9">
      <c r="C606" s="164"/>
      <c r="D606" s="63"/>
      <c r="E606" s="160"/>
      <c r="F606" s="45"/>
      <c r="G606" s="161"/>
      <c r="H606" s="36"/>
      <c r="I606" s="36"/>
    </row>
    <row r="607" spans="3:9">
      <c r="C607" s="164"/>
      <c r="D607" s="63"/>
      <c r="E607" s="160"/>
      <c r="F607" s="45"/>
      <c r="G607" s="161"/>
      <c r="H607" s="36"/>
      <c r="I607" s="36"/>
    </row>
    <row r="608" spans="3:9">
      <c r="C608" s="164"/>
      <c r="D608" s="63"/>
      <c r="E608" s="160"/>
      <c r="F608" s="45"/>
      <c r="G608" s="161"/>
      <c r="H608" s="36"/>
      <c r="I608" s="36"/>
    </row>
    <row r="609" spans="3:9">
      <c r="C609" s="164"/>
      <c r="D609" s="63"/>
      <c r="E609" s="160"/>
      <c r="F609" s="45"/>
      <c r="G609" s="161"/>
      <c r="H609" s="36"/>
      <c r="I609" s="36"/>
    </row>
    <row r="610" spans="3:9">
      <c r="C610" s="164"/>
      <c r="D610" s="63"/>
      <c r="E610" s="160"/>
      <c r="F610" s="45"/>
      <c r="G610" s="161"/>
      <c r="H610" s="36"/>
      <c r="I610" s="36"/>
    </row>
    <row r="611" spans="3:9">
      <c r="C611" s="164"/>
      <c r="D611" s="63"/>
      <c r="E611" s="160"/>
      <c r="F611" s="45"/>
      <c r="G611" s="161"/>
      <c r="H611" s="36"/>
      <c r="I611" s="36"/>
    </row>
    <row r="612" spans="3:9">
      <c r="C612" s="164"/>
      <c r="D612" s="63"/>
      <c r="E612" s="160"/>
      <c r="F612" s="45"/>
      <c r="G612" s="161"/>
      <c r="H612" s="36"/>
      <c r="I612" s="36"/>
    </row>
    <row r="613" spans="3:9">
      <c r="C613" s="164"/>
      <c r="D613" s="63"/>
      <c r="E613" s="160"/>
      <c r="F613" s="45"/>
      <c r="G613" s="161"/>
      <c r="H613" s="36"/>
      <c r="I613" s="36"/>
    </row>
    <row r="614" spans="3:9">
      <c r="C614" s="164"/>
      <c r="D614" s="63"/>
      <c r="E614" s="160"/>
      <c r="F614" s="45"/>
      <c r="G614" s="161"/>
      <c r="H614" s="36"/>
      <c r="I614" s="36"/>
    </row>
    <row r="615" spans="3:9">
      <c r="C615" s="164"/>
      <c r="D615" s="63"/>
      <c r="E615" s="160"/>
      <c r="F615" s="45"/>
      <c r="G615" s="161"/>
      <c r="H615" s="36"/>
      <c r="I615" s="36"/>
    </row>
    <row r="616" spans="3:9">
      <c r="C616" s="164"/>
      <c r="D616" s="63"/>
      <c r="E616" s="160"/>
      <c r="F616" s="45"/>
      <c r="G616" s="161"/>
      <c r="H616" s="36"/>
      <c r="I616" s="36"/>
    </row>
    <row r="617" spans="3:9">
      <c r="C617" s="164"/>
      <c r="D617" s="63"/>
      <c r="E617" s="160"/>
      <c r="F617" s="45"/>
      <c r="G617" s="161"/>
      <c r="H617" s="36"/>
      <c r="I617" s="36"/>
    </row>
    <row r="618" spans="3:9">
      <c r="C618" s="164"/>
      <c r="D618" s="63"/>
      <c r="E618" s="160"/>
      <c r="F618" s="45"/>
      <c r="G618" s="161"/>
      <c r="H618" s="36"/>
      <c r="I618" s="36"/>
    </row>
    <row r="619" spans="3:9">
      <c r="C619" s="164"/>
      <c r="D619" s="63"/>
      <c r="E619" s="160"/>
      <c r="F619" s="45"/>
      <c r="G619" s="161"/>
      <c r="H619" s="36"/>
      <c r="I619" s="36"/>
    </row>
    <row r="620" spans="3:9">
      <c r="C620" s="164"/>
      <c r="D620" s="63"/>
      <c r="E620" s="160"/>
      <c r="F620" s="45"/>
      <c r="G620" s="161"/>
      <c r="H620" s="36"/>
      <c r="I620" s="36"/>
    </row>
    <row r="621" spans="3:9">
      <c r="C621" s="164"/>
      <c r="D621" s="63"/>
      <c r="E621" s="160"/>
      <c r="F621" s="45"/>
      <c r="G621" s="161"/>
      <c r="H621" s="36"/>
      <c r="I621" s="36"/>
    </row>
    <row r="622" spans="3:9">
      <c r="C622" s="164"/>
      <c r="D622" s="63"/>
      <c r="E622" s="160"/>
      <c r="F622" s="45"/>
      <c r="G622" s="161"/>
      <c r="H622" s="36"/>
      <c r="I622" s="36"/>
    </row>
    <row r="623" spans="3:9">
      <c r="C623" s="164"/>
      <c r="D623" s="63"/>
      <c r="E623" s="160"/>
      <c r="F623" s="45"/>
      <c r="G623" s="161"/>
      <c r="H623" s="36"/>
      <c r="I623" s="36"/>
    </row>
    <row r="624" spans="3:9">
      <c r="C624" s="164"/>
      <c r="D624" s="63"/>
      <c r="E624" s="160"/>
      <c r="F624" s="45"/>
      <c r="G624" s="161"/>
      <c r="H624" s="36"/>
      <c r="I624" s="36"/>
    </row>
    <row r="625" spans="3:9">
      <c r="C625" s="164"/>
      <c r="D625" s="63"/>
      <c r="E625" s="160"/>
      <c r="F625" s="45"/>
      <c r="G625" s="161"/>
      <c r="H625" s="36"/>
      <c r="I625" s="36"/>
    </row>
    <row r="626" spans="3:9">
      <c r="C626" s="164"/>
      <c r="D626" s="63"/>
      <c r="E626" s="160"/>
      <c r="F626" s="45"/>
      <c r="G626" s="161"/>
      <c r="H626" s="36"/>
      <c r="I626" s="36"/>
    </row>
    <row r="627" spans="3:9">
      <c r="C627" s="164"/>
      <c r="D627" s="63"/>
      <c r="E627" s="160"/>
      <c r="F627" s="45"/>
      <c r="G627" s="161"/>
      <c r="H627" s="36"/>
      <c r="I627" s="36"/>
    </row>
    <row r="628" spans="3:9">
      <c r="C628" s="164"/>
      <c r="D628" s="63"/>
      <c r="E628" s="160"/>
      <c r="F628" s="45"/>
      <c r="G628" s="161"/>
      <c r="H628" s="36"/>
      <c r="I628" s="36"/>
    </row>
    <row r="629" spans="3:9">
      <c r="C629" s="164"/>
      <c r="D629" s="63"/>
      <c r="E629" s="160"/>
      <c r="F629" s="45"/>
      <c r="G629" s="161"/>
      <c r="H629" s="36"/>
      <c r="I629" s="36"/>
    </row>
    <row r="630" spans="3:9">
      <c r="C630" s="164"/>
      <c r="D630" s="63"/>
      <c r="E630" s="160"/>
      <c r="F630" s="45"/>
      <c r="G630" s="161"/>
      <c r="H630" s="36"/>
      <c r="I630" s="36"/>
    </row>
    <row r="631" spans="3:9">
      <c r="C631" s="164"/>
      <c r="D631" s="63"/>
      <c r="E631" s="160"/>
      <c r="F631" s="45"/>
      <c r="G631" s="161"/>
      <c r="H631" s="36"/>
      <c r="I631" s="36"/>
    </row>
    <row r="632" spans="3:9">
      <c r="C632" s="164"/>
      <c r="D632" s="63"/>
      <c r="E632" s="160"/>
      <c r="F632" s="45"/>
      <c r="G632" s="161"/>
      <c r="H632" s="36"/>
      <c r="I632" s="36"/>
    </row>
    <row r="633" spans="3:9">
      <c r="C633" s="164"/>
      <c r="D633" s="63"/>
      <c r="E633" s="160"/>
      <c r="F633" s="45"/>
      <c r="G633" s="161"/>
      <c r="H633" s="36"/>
      <c r="I633" s="36"/>
    </row>
    <row r="634" spans="3:9">
      <c r="C634" s="164"/>
      <c r="D634" s="63"/>
      <c r="E634" s="160"/>
      <c r="F634" s="45"/>
      <c r="G634" s="161"/>
      <c r="H634" s="36"/>
      <c r="I634" s="36"/>
    </row>
    <row r="635" spans="3:9">
      <c r="C635" s="164"/>
      <c r="D635" s="63"/>
      <c r="E635" s="160"/>
      <c r="F635" s="45"/>
      <c r="G635" s="161"/>
      <c r="H635" s="36"/>
      <c r="I635" s="36"/>
    </row>
    <row r="636" spans="3:9">
      <c r="C636" s="164"/>
      <c r="D636" s="63"/>
      <c r="E636" s="160"/>
      <c r="F636" s="45"/>
      <c r="G636" s="161"/>
      <c r="H636" s="36"/>
      <c r="I636" s="36"/>
    </row>
    <row r="637" spans="3:9">
      <c r="C637" s="164"/>
      <c r="D637" s="63"/>
      <c r="E637" s="160"/>
      <c r="F637" s="45"/>
      <c r="G637" s="161"/>
      <c r="H637" s="36"/>
      <c r="I637" s="36"/>
    </row>
    <row r="638" spans="3:9">
      <c r="C638" s="164"/>
      <c r="D638" s="63"/>
      <c r="E638" s="160"/>
      <c r="F638" s="45"/>
      <c r="G638" s="161"/>
      <c r="H638" s="36"/>
      <c r="I638" s="36"/>
    </row>
    <row r="639" spans="3:9">
      <c r="C639" s="164"/>
      <c r="D639" s="63"/>
      <c r="E639" s="160"/>
      <c r="F639" s="45"/>
      <c r="G639" s="161"/>
      <c r="H639" s="36"/>
      <c r="I639" s="36"/>
    </row>
    <row r="640" spans="3:9">
      <c r="C640" s="164"/>
      <c r="D640" s="63"/>
      <c r="E640" s="160"/>
      <c r="F640" s="45"/>
      <c r="G640" s="161"/>
      <c r="H640" s="36"/>
      <c r="I640" s="36"/>
    </row>
    <row r="641" spans="3:9">
      <c r="C641" s="164"/>
      <c r="D641" s="63"/>
      <c r="E641" s="160"/>
      <c r="F641" s="45"/>
      <c r="G641" s="161"/>
      <c r="H641" s="36"/>
      <c r="I641" s="36"/>
    </row>
    <row r="642" spans="3:9">
      <c r="C642" s="164"/>
      <c r="D642" s="63"/>
      <c r="E642" s="160"/>
      <c r="F642" s="45"/>
      <c r="G642" s="161"/>
      <c r="H642" s="36"/>
      <c r="I642" s="36"/>
    </row>
    <row r="643" spans="3:9">
      <c r="C643" s="164"/>
      <c r="D643" s="63"/>
      <c r="E643" s="160"/>
      <c r="F643" s="45"/>
      <c r="G643" s="161"/>
      <c r="H643" s="36"/>
      <c r="I643" s="36"/>
    </row>
    <row r="644" spans="3:9">
      <c r="C644" s="164"/>
      <c r="D644" s="63"/>
      <c r="E644" s="160"/>
      <c r="F644" s="45"/>
      <c r="G644" s="161"/>
      <c r="H644" s="36"/>
      <c r="I644" s="36"/>
    </row>
    <row r="645" spans="3:9">
      <c r="C645" s="164"/>
      <c r="D645" s="63"/>
      <c r="E645" s="160"/>
      <c r="F645" s="45"/>
      <c r="G645" s="161"/>
      <c r="H645" s="36"/>
      <c r="I645" s="36"/>
    </row>
    <row r="646" spans="3:9">
      <c r="C646" s="164"/>
      <c r="D646" s="63"/>
      <c r="E646" s="160"/>
      <c r="F646" s="45"/>
      <c r="G646" s="161"/>
      <c r="H646" s="36"/>
      <c r="I646" s="36"/>
    </row>
    <row r="647" spans="3:9">
      <c r="C647" s="164"/>
      <c r="D647" s="63"/>
      <c r="E647" s="160"/>
      <c r="F647" s="45"/>
      <c r="G647" s="161"/>
      <c r="H647" s="36"/>
      <c r="I647" s="36"/>
    </row>
    <row r="648" spans="3:9">
      <c r="C648" s="164"/>
      <c r="D648" s="63"/>
      <c r="E648" s="160"/>
      <c r="F648" s="45"/>
      <c r="G648" s="161"/>
      <c r="H648" s="36"/>
      <c r="I648" s="36"/>
    </row>
    <row r="649" spans="3:9">
      <c r="C649" s="164"/>
      <c r="D649" s="63"/>
      <c r="E649" s="160"/>
      <c r="F649" s="45"/>
      <c r="G649" s="161"/>
      <c r="H649" s="36"/>
      <c r="I649" s="36"/>
    </row>
    <row r="650" spans="3:9">
      <c r="C650" s="164"/>
      <c r="D650" s="63"/>
      <c r="E650" s="160"/>
      <c r="F650" s="45"/>
      <c r="G650" s="161"/>
      <c r="H650" s="36"/>
      <c r="I650" s="36"/>
    </row>
    <row r="651" spans="3:9">
      <c r="C651" s="164"/>
      <c r="D651" s="63"/>
      <c r="E651" s="160"/>
      <c r="F651" s="45"/>
      <c r="G651" s="161"/>
      <c r="H651" s="36"/>
      <c r="I651" s="36"/>
    </row>
    <row r="652" spans="3:9">
      <c r="C652" s="164"/>
      <c r="D652" s="63"/>
      <c r="E652" s="160"/>
      <c r="F652" s="45"/>
      <c r="G652" s="161"/>
      <c r="H652" s="36"/>
      <c r="I652" s="36"/>
    </row>
    <row r="653" spans="3:9">
      <c r="C653" s="164"/>
      <c r="D653" s="63"/>
      <c r="E653" s="160"/>
      <c r="F653" s="45"/>
      <c r="G653" s="161"/>
      <c r="H653" s="36"/>
      <c r="I653" s="36"/>
    </row>
    <row r="654" spans="3:9">
      <c r="C654" s="164"/>
      <c r="D654" s="63"/>
      <c r="E654" s="160"/>
      <c r="F654" s="45"/>
      <c r="G654" s="161"/>
      <c r="H654" s="36"/>
      <c r="I654" s="36"/>
    </row>
    <row r="655" spans="3:9">
      <c r="C655" s="164"/>
      <c r="D655" s="63"/>
      <c r="E655" s="160"/>
      <c r="F655" s="45"/>
      <c r="G655" s="161"/>
      <c r="H655" s="36"/>
      <c r="I655" s="36"/>
    </row>
    <row r="656" spans="3:9">
      <c r="C656" s="164"/>
      <c r="D656" s="63"/>
      <c r="E656" s="160"/>
      <c r="F656" s="45"/>
      <c r="G656" s="161"/>
      <c r="H656" s="36"/>
      <c r="I656" s="36"/>
    </row>
    <row r="657" spans="3:9">
      <c r="C657" s="164"/>
      <c r="D657" s="63"/>
      <c r="E657" s="160"/>
      <c r="F657" s="45"/>
      <c r="G657" s="161"/>
      <c r="H657" s="36"/>
      <c r="I657" s="36"/>
    </row>
    <row r="658" spans="3:9">
      <c r="C658" s="164"/>
      <c r="D658" s="63"/>
      <c r="E658" s="160"/>
      <c r="F658" s="45"/>
      <c r="G658" s="161"/>
      <c r="H658" s="36"/>
      <c r="I658" s="36"/>
    </row>
    <row r="659" spans="3:9">
      <c r="C659" s="164"/>
      <c r="D659" s="63"/>
      <c r="E659" s="160"/>
      <c r="F659" s="45"/>
      <c r="G659" s="161"/>
      <c r="H659" s="36"/>
      <c r="I659" s="36"/>
    </row>
    <row r="660" spans="3:9">
      <c r="C660" s="164"/>
      <c r="D660" s="63"/>
      <c r="E660" s="160"/>
      <c r="F660" s="45"/>
      <c r="G660" s="161"/>
      <c r="H660" s="36"/>
      <c r="I660" s="36"/>
    </row>
    <row r="661" spans="3:9">
      <c r="C661" s="164"/>
      <c r="D661" s="63"/>
      <c r="E661" s="160"/>
      <c r="F661" s="45"/>
      <c r="G661" s="161"/>
      <c r="H661" s="36"/>
      <c r="I661" s="36"/>
    </row>
    <row r="662" spans="3:9">
      <c r="C662" s="164"/>
      <c r="D662" s="63"/>
      <c r="E662" s="160"/>
      <c r="F662" s="45"/>
      <c r="G662" s="161"/>
      <c r="H662" s="36"/>
      <c r="I662" s="36"/>
    </row>
    <row r="663" spans="3:9">
      <c r="C663" s="164"/>
      <c r="D663" s="63"/>
      <c r="E663" s="160"/>
      <c r="F663" s="45"/>
      <c r="G663" s="161"/>
      <c r="H663" s="36"/>
      <c r="I663" s="36"/>
    </row>
    <row r="664" spans="3:9">
      <c r="C664" s="164"/>
      <c r="D664" s="63"/>
      <c r="E664" s="160"/>
      <c r="F664" s="45"/>
      <c r="G664" s="161"/>
      <c r="H664" s="36"/>
      <c r="I664" s="36"/>
    </row>
    <row r="665" spans="3:9">
      <c r="C665" s="164"/>
      <c r="D665" s="63"/>
      <c r="E665" s="160"/>
      <c r="F665" s="45"/>
      <c r="G665" s="161"/>
      <c r="H665" s="36"/>
      <c r="I665" s="36"/>
    </row>
    <row r="666" spans="3:9">
      <c r="C666" s="164"/>
      <c r="D666" s="63"/>
      <c r="E666" s="160"/>
      <c r="F666" s="45"/>
      <c r="G666" s="161"/>
      <c r="H666" s="36"/>
      <c r="I666" s="36"/>
    </row>
    <row r="667" spans="3:9">
      <c r="C667" s="164"/>
      <c r="D667" s="63"/>
      <c r="E667" s="160"/>
      <c r="F667" s="45"/>
      <c r="G667" s="161"/>
      <c r="H667" s="36"/>
      <c r="I667" s="36"/>
    </row>
    <row r="668" spans="3:9">
      <c r="C668" s="164"/>
      <c r="D668" s="63"/>
      <c r="E668" s="160"/>
      <c r="F668" s="45"/>
      <c r="G668" s="161"/>
      <c r="H668" s="36"/>
      <c r="I668" s="36"/>
    </row>
    <row r="669" spans="3:9">
      <c r="C669" s="164"/>
      <c r="D669" s="63"/>
      <c r="E669" s="160"/>
      <c r="F669" s="45"/>
      <c r="G669" s="161"/>
      <c r="H669" s="36"/>
      <c r="I669" s="36"/>
    </row>
    <row r="670" spans="3:9">
      <c r="C670" s="164"/>
      <c r="D670" s="63"/>
      <c r="E670" s="160"/>
      <c r="F670" s="45"/>
      <c r="G670" s="161"/>
      <c r="H670" s="36"/>
      <c r="I670" s="36"/>
    </row>
    <row r="671" spans="3:9">
      <c r="C671" s="164"/>
      <c r="D671" s="63"/>
      <c r="E671" s="160"/>
      <c r="F671" s="45"/>
      <c r="G671" s="161"/>
      <c r="H671" s="36"/>
      <c r="I671" s="36"/>
    </row>
    <row r="672" spans="3:9">
      <c r="C672" s="164"/>
      <c r="D672" s="63"/>
      <c r="E672" s="160"/>
      <c r="F672" s="45"/>
      <c r="G672" s="161"/>
      <c r="H672" s="36"/>
      <c r="I672" s="36"/>
    </row>
    <row r="673" spans="3:9">
      <c r="C673" s="164"/>
      <c r="D673" s="63"/>
      <c r="E673" s="160"/>
      <c r="F673" s="45"/>
      <c r="G673" s="161"/>
      <c r="H673" s="36"/>
      <c r="I673" s="36"/>
    </row>
    <row r="674" spans="3:9">
      <c r="C674" s="164"/>
      <c r="D674" s="63"/>
      <c r="E674" s="160"/>
      <c r="F674" s="45"/>
      <c r="G674" s="161"/>
      <c r="H674" s="36"/>
      <c r="I674" s="36"/>
    </row>
    <row r="675" spans="3:9">
      <c r="C675" s="164"/>
      <c r="D675" s="63"/>
      <c r="E675" s="160"/>
      <c r="F675" s="45"/>
      <c r="G675" s="161"/>
      <c r="H675" s="36"/>
      <c r="I675" s="36"/>
    </row>
    <row r="676" spans="3:9">
      <c r="C676" s="164"/>
      <c r="D676" s="63"/>
      <c r="E676" s="160"/>
      <c r="F676" s="45"/>
      <c r="G676" s="161"/>
      <c r="H676" s="36"/>
      <c r="I676" s="36"/>
    </row>
    <row r="677" spans="3:9">
      <c r="C677" s="164"/>
      <c r="D677" s="63"/>
      <c r="E677" s="160"/>
      <c r="F677" s="45"/>
      <c r="G677" s="161"/>
      <c r="H677" s="36"/>
      <c r="I677" s="36"/>
    </row>
    <row r="678" spans="3:9">
      <c r="C678" s="164"/>
      <c r="D678" s="63"/>
      <c r="E678" s="160"/>
      <c r="F678" s="45"/>
      <c r="G678" s="161"/>
      <c r="H678" s="36"/>
      <c r="I678" s="36"/>
    </row>
    <row r="679" spans="3:9">
      <c r="C679" s="164"/>
      <c r="D679" s="63"/>
      <c r="E679" s="160"/>
      <c r="F679" s="45"/>
      <c r="G679" s="161"/>
      <c r="H679" s="36"/>
      <c r="I679" s="36"/>
    </row>
    <row r="680" spans="3:9">
      <c r="C680" s="164"/>
      <c r="D680" s="63"/>
      <c r="E680" s="160"/>
      <c r="F680" s="45"/>
      <c r="G680" s="161"/>
      <c r="H680" s="36"/>
      <c r="I680" s="36"/>
    </row>
    <row r="681" spans="3:9">
      <c r="C681" s="164"/>
      <c r="D681" s="63"/>
      <c r="E681" s="160"/>
      <c r="F681" s="45"/>
      <c r="G681" s="161"/>
      <c r="H681" s="36"/>
      <c r="I681" s="36"/>
    </row>
    <row r="682" spans="3:9">
      <c r="C682" s="164"/>
      <c r="D682" s="63"/>
      <c r="E682" s="160"/>
      <c r="F682" s="45"/>
      <c r="G682" s="161"/>
      <c r="H682" s="36"/>
      <c r="I682" s="36"/>
    </row>
    <row r="683" spans="3:9">
      <c r="C683" s="164"/>
      <c r="D683" s="63"/>
      <c r="E683" s="160"/>
      <c r="F683" s="45"/>
      <c r="G683" s="161"/>
      <c r="H683" s="36"/>
      <c r="I683" s="36"/>
    </row>
    <row r="684" spans="3:9">
      <c r="C684" s="164"/>
      <c r="D684" s="63"/>
      <c r="E684" s="160"/>
      <c r="F684" s="45"/>
      <c r="G684" s="161"/>
      <c r="H684" s="36"/>
      <c r="I684" s="36"/>
    </row>
    <row r="685" spans="3:9">
      <c r="C685" s="164"/>
      <c r="D685" s="63"/>
      <c r="E685" s="160"/>
      <c r="F685" s="45"/>
      <c r="G685" s="161"/>
      <c r="H685" s="36"/>
      <c r="I685" s="36"/>
    </row>
    <row r="686" spans="3:9">
      <c r="C686" s="164"/>
      <c r="D686" s="63"/>
      <c r="E686" s="160"/>
      <c r="F686" s="45"/>
      <c r="G686" s="161"/>
      <c r="H686" s="36"/>
      <c r="I686" s="36"/>
    </row>
    <row r="687" spans="3:9">
      <c r="C687" s="164"/>
      <c r="D687" s="63"/>
      <c r="E687" s="160"/>
      <c r="F687" s="45"/>
      <c r="G687" s="161"/>
      <c r="H687" s="36"/>
      <c r="I687" s="36"/>
    </row>
    <row r="688" spans="3:9">
      <c r="C688" s="164"/>
      <c r="D688" s="63"/>
      <c r="E688" s="160"/>
      <c r="F688" s="45"/>
      <c r="G688" s="161"/>
      <c r="H688" s="36"/>
      <c r="I688" s="36"/>
    </row>
    <row r="689" spans="3:9">
      <c r="C689" s="164"/>
      <c r="D689" s="63"/>
      <c r="E689" s="160"/>
      <c r="F689" s="45"/>
      <c r="G689" s="161"/>
      <c r="H689" s="36"/>
      <c r="I689" s="36"/>
    </row>
    <row r="690" spans="3:9">
      <c r="C690" s="164"/>
      <c r="D690" s="63"/>
      <c r="E690" s="160"/>
      <c r="F690" s="45"/>
      <c r="G690" s="161"/>
      <c r="H690" s="36"/>
      <c r="I690" s="36"/>
    </row>
    <row r="691" spans="3:9">
      <c r="C691" s="164"/>
      <c r="D691" s="63"/>
      <c r="E691" s="160"/>
      <c r="F691" s="45"/>
      <c r="G691" s="161"/>
      <c r="H691" s="36"/>
      <c r="I691" s="36"/>
    </row>
    <row r="692" spans="3:9">
      <c r="C692" s="164"/>
      <c r="D692" s="63"/>
      <c r="E692" s="160"/>
      <c r="F692" s="45"/>
      <c r="G692" s="161"/>
      <c r="H692" s="36"/>
      <c r="I692" s="36"/>
    </row>
    <row r="693" spans="3:9">
      <c r="C693" s="164"/>
      <c r="D693" s="63"/>
      <c r="E693" s="160"/>
      <c r="F693" s="45"/>
      <c r="G693" s="161"/>
      <c r="H693" s="36"/>
      <c r="I693" s="36"/>
    </row>
    <row r="694" spans="3:9">
      <c r="C694" s="164"/>
      <c r="D694" s="63"/>
      <c r="E694" s="160"/>
      <c r="F694" s="45"/>
      <c r="G694" s="161"/>
      <c r="H694" s="36"/>
      <c r="I694" s="36"/>
    </row>
    <row r="695" spans="3:9">
      <c r="C695" s="164"/>
      <c r="D695" s="63"/>
      <c r="E695" s="160"/>
      <c r="F695" s="45"/>
      <c r="G695" s="161"/>
      <c r="H695" s="36"/>
      <c r="I695" s="36"/>
    </row>
    <row r="696" spans="3:9">
      <c r="C696" s="164"/>
      <c r="D696" s="63"/>
      <c r="E696" s="160"/>
      <c r="F696" s="45"/>
      <c r="G696" s="161"/>
      <c r="H696" s="36"/>
      <c r="I696" s="36"/>
    </row>
    <row r="697" spans="3:9">
      <c r="C697" s="164"/>
      <c r="D697" s="63"/>
      <c r="E697" s="160"/>
      <c r="F697" s="45"/>
      <c r="G697" s="161"/>
      <c r="H697" s="36"/>
      <c r="I697" s="36"/>
    </row>
    <row r="698" spans="3:9">
      <c r="C698" s="164"/>
      <c r="D698" s="63"/>
      <c r="E698" s="160"/>
      <c r="F698" s="45"/>
      <c r="G698" s="161"/>
      <c r="H698" s="36"/>
      <c r="I698" s="36"/>
    </row>
    <row r="699" spans="3:9">
      <c r="C699" s="164"/>
      <c r="D699" s="63"/>
      <c r="E699" s="160"/>
      <c r="F699" s="45"/>
      <c r="G699" s="161"/>
      <c r="H699" s="36"/>
      <c r="I699" s="36"/>
    </row>
    <row r="700" spans="3:9">
      <c r="C700" s="164"/>
      <c r="D700" s="63"/>
      <c r="E700" s="160"/>
      <c r="F700" s="45"/>
      <c r="G700" s="161"/>
      <c r="H700" s="36"/>
      <c r="I700" s="36"/>
    </row>
    <row r="701" spans="3:9">
      <c r="C701" s="164"/>
      <c r="D701" s="63"/>
      <c r="E701" s="160"/>
      <c r="F701" s="45"/>
      <c r="G701" s="161"/>
      <c r="H701" s="36"/>
      <c r="I701" s="36"/>
    </row>
    <row r="702" spans="3:9">
      <c r="C702" s="164"/>
      <c r="D702" s="63"/>
      <c r="E702" s="160"/>
      <c r="F702" s="45"/>
      <c r="G702" s="161"/>
      <c r="H702" s="36"/>
      <c r="I702" s="36"/>
    </row>
    <row r="703" spans="3:9">
      <c r="C703" s="164"/>
      <c r="D703" s="63"/>
      <c r="E703" s="160"/>
      <c r="F703" s="45"/>
      <c r="G703" s="161"/>
      <c r="H703" s="36"/>
      <c r="I703" s="36"/>
    </row>
    <row r="704" spans="3:9">
      <c r="C704" s="164"/>
      <c r="D704" s="63"/>
      <c r="E704" s="160"/>
      <c r="F704" s="45"/>
      <c r="G704" s="161"/>
      <c r="H704" s="36"/>
      <c r="I704" s="36"/>
    </row>
    <row r="705" spans="3:9">
      <c r="C705" s="164"/>
      <c r="D705" s="63"/>
      <c r="E705" s="160"/>
      <c r="F705" s="45"/>
      <c r="G705" s="161"/>
      <c r="H705" s="36"/>
      <c r="I705" s="36"/>
    </row>
    <row r="706" spans="3:9">
      <c r="C706" s="164"/>
      <c r="D706" s="63"/>
      <c r="E706" s="160"/>
      <c r="F706" s="45"/>
      <c r="G706" s="161"/>
      <c r="H706" s="36"/>
      <c r="I706" s="36"/>
    </row>
    <row r="707" spans="3:9">
      <c r="C707" s="164"/>
      <c r="D707" s="63"/>
      <c r="E707" s="160"/>
      <c r="F707" s="45"/>
      <c r="G707" s="161"/>
      <c r="H707" s="36"/>
      <c r="I707" s="36"/>
    </row>
    <row r="708" spans="3:9">
      <c r="C708" s="164"/>
      <c r="D708" s="63"/>
      <c r="E708" s="160"/>
      <c r="F708" s="45"/>
      <c r="G708" s="161"/>
      <c r="H708" s="36"/>
      <c r="I708" s="36"/>
    </row>
    <row r="709" spans="3:9">
      <c r="C709" s="164"/>
      <c r="D709" s="63"/>
      <c r="E709" s="160"/>
      <c r="F709" s="45"/>
      <c r="G709" s="161"/>
      <c r="H709" s="36"/>
      <c r="I709" s="36"/>
    </row>
    <row r="710" spans="3:9">
      <c r="C710" s="164"/>
      <c r="D710" s="63"/>
      <c r="E710" s="160"/>
      <c r="F710" s="45"/>
      <c r="G710" s="161"/>
      <c r="H710" s="36"/>
      <c r="I710" s="36"/>
    </row>
    <row r="711" spans="3:9">
      <c r="C711" s="164"/>
      <c r="D711" s="63"/>
      <c r="E711" s="160"/>
      <c r="F711" s="45"/>
      <c r="G711" s="161"/>
      <c r="H711" s="36"/>
      <c r="I711" s="36"/>
    </row>
    <row r="712" spans="3:9">
      <c r="C712" s="164"/>
      <c r="D712" s="63"/>
      <c r="E712" s="160"/>
      <c r="F712" s="45"/>
      <c r="G712" s="161"/>
      <c r="H712" s="36"/>
      <c r="I712" s="36"/>
    </row>
    <row r="713" spans="3:9">
      <c r="C713" s="164"/>
      <c r="D713" s="63"/>
      <c r="E713" s="160"/>
      <c r="F713" s="45"/>
      <c r="G713" s="161"/>
      <c r="H713" s="36"/>
      <c r="I713" s="36"/>
    </row>
    <row r="714" spans="3:9">
      <c r="C714" s="164"/>
      <c r="D714" s="63"/>
      <c r="E714" s="160"/>
      <c r="F714" s="45"/>
      <c r="G714" s="161"/>
      <c r="H714" s="36"/>
      <c r="I714" s="36"/>
    </row>
    <row r="715" spans="3:9">
      <c r="C715" s="164"/>
      <c r="D715" s="63"/>
      <c r="E715" s="160"/>
      <c r="F715" s="45"/>
      <c r="G715" s="161"/>
      <c r="H715" s="36"/>
      <c r="I715" s="36"/>
    </row>
    <row r="716" spans="3:9">
      <c r="C716" s="164"/>
      <c r="D716" s="63"/>
      <c r="E716" s="160"/>
      <c r="F716" s="45"/>
      <c r="G716" s="161"/>
      <c r="H716" s="36"/>
      <c r="I716" s="36"/>
    </row>
    <row r="717" spans="3:9">
      <c r="C717" s="164"/>
      <c r="D717" s="63"/>
      <c r="E717" s="160"/>
      <c r="F717" s="45"/>
      <c r="G717" s="161"/>
      <c r="H717" s="36"/>
      <c r="I717" s="36"/>
    </row>
    <row r="718" spans="3:9">
      <c r="C718" s="164"/>
      <c r="D718" s="63"/>
      <c r="E718" s="160"/>
      <c r="F718" s="45"/>
      <c r="G718" s="161"/>
      <c r="H718" s="36"/>
      <c r="I718" s="36"/>
    </row>
    <row r="719" spans="3:9">
      <c r="C719" s="164"/>
      <c r="D719" s="63"/>
      <c r="E719" s="160"/>
      <c r="F719" s="45"/>
      <c r="G719" s="161"/>
      <c r="H719" s="36"/>
      <c r="I719" s="36"/>
    </row>
    <row r="720" spans="3:9">
      <c r="C720" s="164"/>
      <c r="D720" s="63"/>
      <c r="E720" s="160"/>
      <c r="F720" s="45"/>
      <c r="G720" s="161"/>
      <c r="H720" s="36"/>
      <c r="I720" s="36"/>
    </row>
    <row r="721" spans="3:9">
      <c r="C721" s="164"/>
      <c r="D721" s="63"/>
      <c r="E721" s="160"/>
      <c r="F721" s="45"/>
      <c r="G721" s="161"/>
      <c r="H721" s="36"/>
      <c r="I721" s="36"/>
    </row>
    <row r="722" spans="3:9">
      <c r="C722" s="164"/>
      <c r="D722" s="63"/>
      <c r="E722" s="160"/>
      <c r="F722" s="45"/>
      <c r="G722" s="161"/>
      <c r="H722" s="36"/>
      <c r="I722" s="36"/>
    </row>
    <row r="723" spans="3:9">
      <c r="C723" s="164"/>
      <c r="D723" s="63"/>
      <c r="E723" s="160"/>
      <c r="F723" s="45"/>
      <c r="G723" s="161"/>
      <c r="H723" s="36"/>
      <c r="I723" s="36"/>
    </row>
    <row r="724" spans="3:9">
      <c r="C724" s="164"/>
      <c r="D724" s="63"/>
      <c r="E724" s="160"/>
      <c r="F724" s="45"/>
      <c r="G724" s="161"/>
      <c r="H724" s="36"/>
      <c r="I724" s="36"/>
    </row>
    <row r="725" spans="3:9">
      <c r="C725" s="164"/>
      <c r="D725" s="63"/>
      <c r="E725" s="160"/>
      <c r="F725" s="45"/>
      <c r="G725" s="161"/>
      <c r="H725" s="36"/>
      <c r="I725" s="36"/>
    </row>
    <row r="726" spans="3:9">
      <c r="C726" s="164"/>
      <c r="D726" s="63"/>
      <c r="E726" s="160"/>
      <c r="F726" s="45"/>
      <c r="G726" s="161"/>
      <c r="H726" s="36"/>
      <c r="I726" s="36"/>
    </row>
    <row r="727" spans="3:9">
      <c r="C727" s="164"/>
      <c r="D727" s="63"/>
      <c r="E727" s="160"/>
      <c r="F727" s="45"/>
      <c r="G727" s="161"/>
      <c r="H727" s="36"/>
      <c r="I727" s="36"/>
    </row>
    <row r="728" spans="3:9">
      <c r="C728" s="164"/>
      <c r="D728" s="63"/>
      <c r="E728" s="160"/>
      <c r="F728" s="45"/>
      <c r="G728" s="161"/>
      <c r="H728" s="36"/>
      <c r="I728" s="36"/>
    </row>
    <row r="729" spans="3:9">
      <c r="C729" s="164"/>
      <c r="D729" s="63"/>
      <c r="E729" s="160"/>
      <c r="F729" s="45"/>
      <c r="G729" s="161"/>
      <c r="H729" s="36"/>
      <c r="I729" s="36"/>
    </row>
    <row r="730" spans="3:9">
      <c r="C730" s="164"/>
      <c r="D730" s="63"/>
      <c r="E730" s="160"/>
      <c r="F730" s="45"/>
      <c r="G730" s="161"/>
      <c r="H730" s="36"/>
      <c r="I730" s="36"/>
    </row>
    <row r="731" spans="3:9">
      <c r="C731" s="164"/>
      <c r="D731" s="63"/>
      <c r="E731" s="160"/>
      <c r="F731" s="45"/>
      <c r="G731" s="161"/>
      <c r="H731" s="36"/>
      <c r="I731" s="36"/>
    </row>
    <row r="732" spans="3:9">
      <c r="C732" s="164"/>
      <c r="D732" s="63"/>
      <c r="E732" s="160"/>
      <c r="F732" s="45"/>
      <c r="G732" s="161"/>
      <c r="H732" s="36"/>
      <c r="I732" s="36"/>
    </row>
    <row r="733" spans="3:9">
      <c r="C733" s="164"/>
      <c r="D733" s="63"/>
      <c r="E733" s="160"/>
      <c r="F733" s="45"/>
      <c r="G733" s="161"/>
      <c r="H733" s="36"/>
      <c r="I733" s="36"/>
    </row>
    <row r="734" spans="3:9">
      <c r="C734" s="164"/>
      <c r="D734" s="63"/>
      <c r="E734" s="160"/>
      <c r="F734" s="45"/>
      <c r="G734" s="161"/>
      <c r="H734" s="36"/>
      <c r="I734" s="36"/>
    </row>
    <row r="735" spans="3:9">
      <c r="C735" s="164"/>
      <c r="D735" s="63"/>
      <c r="E735" s="160"/>
      <c r="F735" s="45"/>
      <c r="G735" s="161"/>
      <c r="H735" s="36"/>
      <c r="I735" s="36"/>
    </row>
    <row r="736" spans="3:9">
      <c r="C736" s="164"/>
      <c r="D736" s="63"/>
      <c r="E736" s="160"/>
      <c r="F736" s="45"/>
      <c r="G736" s="161"/>
      <c r="H736" s="36"/>
      <c r="I736" s="36"/>
    </row>
    <row r="737" spans="3:9">
      <c r="C737" s="164"/>
      <c r="D737" s="63"/>
      <c r="E737" s="160"/>
      <c r="F737" s="45"/>
      <c r="G737" s="161"/>
      <c r="H737" s="36"/>
      <c r="I737" s="36"/>
    </row>
    <row r="738" spans="3:9">
      <c r="C738" s="164"/>
      <c r="D738" s="63"/>
      <c r="E738" s="160"/>
      <c r="F738" s="45"/>
      <c r="G738" s="161"/>
      <c r="H738" s="36"/>
      <c r="I738" s="36"/>
    </row>
    <row r="739" spans="3:9">
      <c r="C739" s="164"/>
      <c r="D739" s="63"/>
      <c r="E739" s="160"/>
      <c r="F739" s="45"/>
      <c r="G739" s="161"/>
      <c r="H739" s="36"/>
      <c r="I739" s="36"/>
    </row>
    <row r="740" spans="3:9">
      <c r="C740" s="164"/>
      <c r="D740" s="63"/>
      <c r="E740" s="160"/>
      <c r="F740" s="45"/>
      <c r="G740" s="161"/>
      <c r="H740" s="36"/>
      <c r="I740" s="36"/>
    </row>
    <row r="741" spans="3:9">
      <c r="C741" s="164"/>
      <c r="D741" s="63"/>
      <c r="E741" s="160"/>
      <c r="F741" s="45"/>
      <c r="G741" s="161"/>
      <c r="H741" s="36"/>
      <c r="I741" s="36"/>
    </row>
    <row r="742" spans="3:9">
      <c r="C742" s="164"/>
      <c r="D742" s="63"/>
      <c r="E742" s="160"/>
      <c r="F742" s="45"/>
      <c r="G742" s="161"/>
      <c r="H742" s="36"/>
      <c r="I742" s="36"/>
    </row>
    <row r="743" spans="3:9">
      <c r="C743" s="164"/>
      <c r="D743" s="63"/>
      <c r="E743" s="160"/>
      <c r="F743" s="45"/>
      <c r="G743" s="161"/>
      <c r="H743" s="36"/>
      <c r="I743" s="36"/>
    </row>
    <row r="744" spans="3:9">
      <c r="C744" s="164"/>
      <c r="D744" s="63"/>
      <c r="E744" s="160"/>
      <c r="F744" s="45"/>
      <c r="G744" s="161"/>
      <c r="H744" s="36"/>
      <c r="I744" s="36"/>
    </row>
    <row r="745" spans="3:9">
      <c r="C745" s="164"/>
      <c r="D745" s="63"/>
      <c r="E745" s="160"/>
      <c r="F745" s="45"/>
      <c r="G745" s="161"/>
      <c r="H745" s="36"/>
      <c r="I745" s="36"/>
    </row>
    <row r="746" spans="3:9">
      <c r="C746" s="164"/>
      <c r="D746" s="63"/>
      <c r="E746" s="160"/>
      <c r="F746" s="45"/>
      <c r="G746" s="161"/>
      <c r="H746" s="36"/>
      <c r="I746" s="36"/>
    </row>
    <row r="747" spans="3:9">
      <c r="C747" s="164"/>
      <c r="D747" s="63"/>
      <c r="E747" s="160"/>
      <c r="F747" s="45"/>
      <c r="G747" s="161"/>
      <c r="H747" s="36"/>
      <c r="I747" s="36"/>
    </row>
    <row r="748" spans="3:9">
      <c r="C748" s="164"/>
      <c r="D748" s="63"/>
      <c r="E748" s="160"/>
      <c r="F748" s="45"/>
      <c r="G748" s="161"/>
      <c r="H748" s="36"/>
      <c r="I748" s="36"/>
    </row>
    <row r="749" spans="3:9">
      <c r="C749" s="164"/>
      <c r="D749" s="63"/>
      <c r="E749" s="160"/>
      <c r="F749" s="45"/>
      <c r="G749" s="161"/>
      <c r="H749" s="36"/>
      <c r="I749" s="36"/>
    </row>
    <row r="750" spans="3:9">
      <c r="C750" s="164"/>
      <c r="D750" s="63"/>
      <c r="E750" s="160"/>
      <c r="F750" s="45"/>
      <c r="G750" s="161"/>
      <c r="H750" s="36"/>
      <c r="I750" s="36"/>
    </row>
    <row r="751" spans="3:9">
      <c r="C751" s="164"/>
      <c r="D751" s="63"/>
      <c r="E751" s="160"/>
      <c r="F751" s="45"/>
      <c r="G751" s="161"/>
      <c r="H751" s="36"/>
      <c r="I751" s="36"/>
    </row>
    <row r="752" spans="3:9">
      <c r="C752" s="164"/>
      <c r="D752" s="63"/>
      <c r="E752" s="160"/>
      <c r="F752" s="45"/>
      <c r="G752" s="161"/>
      <c r="H752" s="36"/>
      <c r="I752" s="36"/>
    </row>
    <row r="753" spans="3:9">
      <c r="C753" s="164"/>
      <c r="D753" s="63"/>
      <c r="E753" s="160"/>
      <c r="F753" s="45"/>
      <c r="G753" s="161"/>
      <c r="H753" s="36"/>
      <c r="I753" s="36"/>
    </row>
    <row r="754" spans="3:9">
      <c r="C754" s="164"/>
      <c r="D754" s="63"/>
      <c r="E754" s="160"/>
      <c r="F754" s="45"/>
      <c r="G754" s="161"/>
      <c r="H754" s="36"/>
      <c r="I754" s="36"/>
    </row>
    <row r="755" spans="3:9">
      <c r="C755" s="164"/>
      <c r="D755" s="63"/>
      <c r="E755" s="160"/>
      <c r="F755" s="45"/>
      <c r="G755" s="161"/>
      <c r="H755" s="36"/>
      <c r="I755" s="36"/>
    </row>
    <row r="756" spans="3:9">
      <c r="C756" s="164"/>
      <c r="D756" s="63"/>
      <c r="E756" s="160"/>
      <c r="F756" s="45"/>
      <c r="G756" s="161"/>
      <c r="H756" s="36"/>
      <c r="I756" s="36"/>
    </row>
    <row r="757" spans="3:9">
      <c r="C757" s="164"/>
      <c r="D757" s="63"/>
      <c r="E757" s="160"/>
      <c r="F757" s="45"/>
      <c r="G757" s="161"/>
      <c r="H757" s="36"/>
      <c r="I757" s="36"/>
    </row>
    <row r="758" spans="3:9">
      <c r="C758" s="164"/>
      <c r="D758" s="63"/>
      <c r="E758" s="160"/>
      <c r="F758" s="45"/>
      <c r="G758" s="161"/>
      <c r="H758" s="36"/>
      <c r="I758" s="36"/>
    </row>
    <row r="759" spans="3:9">
      <c r="C759" s="164"/>
      <c r="D759" s="63"/>
      <c r="E759" s="160"/>
      <c r="F759" s="45"/>
      <c r="G759" s="161"/>
      <c r="H759" s="36"/>
      <c r="I759" s="36"/>
    </row>
    <row r="760" spans="3:9">
      <c r="C760" s="164"/>
      <c r="D760" s="63"/>
      <c r="E760" s="160"/>
      <c r="F760" s="45"/>
      <c r="G760" s="161"/>
      <c r="H760" s="36"/>
      <c r="I760" s="36"/>
    </row>
    <row r="761" spans="3:9">
      <c r="C761" s="164"/>
      <c r="D761" s="63"/>
      <c r="E761" s="160"/>
      <c r="F761" s="45"/>
      <c r="G761" s="161"/>
      <c r="H761" s="36"/>
      <c r="I761" s="36"/>
    </row>
    <row r="762" spans="3:9">
      <c r="C762" s="164"/>
      <c r="D762" s="63"/>
      <c r="E762" s="160"/>
      <c r="F762" s="45"/>
      <c r="G762" s="161"/>
      <c r="H762" s="36"/>
      <c r="I762" s="36"/>
    </row>
    <row r="763" spans="3:9">
      <c r="C763" s="164"/>
      <c r="D763" s="63"/>
      <c r="E763" s="160"/>
      <c r="F763" s="45"/>
      <c r="G763" s="161"/>
      <c r="H763" s="36"/>
      <c r="I763" s="36"/>
    </row>
    <row r="764" spans="3:9">
      <c r="C764" s="164"/>
      <c r="D764" s="63"/>
      <c r="E764" s="160"/>
      <c r="F764" s="45"/>
      <c r="G764" s="161"/>
      <c r="H764" s="36"/>
      <c r="I764" s="36"/>
    </row>
    <row r="765" spans="3:9">
      <c r="C765" s="164"/>
      <c r="D765" s="63"/>
      <c r="E765" s="160"/>
      <c r="F765" s="45"/>
      <c r="G765" s="161"/>
      <c r="H765" s="36"/>
      <c r="I765" s="36"/>
    </row>
    <row r="766" spans="3:9">
      <c r="C766" s="164"/>
      <c r="D766" s="63"/>
      <c r="E766" s="160"/>
      <c r="F766" s="45"/>
      <c r="G766" s="161"/>
      <c r="H766" s="36"/>
      <c r="I766" s="36"/>
    </row>
    <row r="767" spans="3:9">
      <c r="C767" s="164"/>
      <c r="D767" s="63"/>
      <c r="E767" s="160"/>
      <c r="F767" s="45"/>
      <c r="G767" s="161"/>
      <c r="H767" s="36"/>
      <c r="I767" s="36"/>
    </row>
    <row r="768" spans="3:9">
      <c r="C768" s="164"/>
      <c r="D768" s="63"/>
      <c r="E768" s="160"/>
      <c r="F768" s="45"/>
      <c r="G768" s="161"/>
      <c r="H768" s="36"/>
      <c r="I768" s="36"/>
    </row>
    <row r="769" spans="3:9">
      <c r="C769" s="164"/>
      <c r="D769" s="63"/>
      <c r="E769" s="160"/>
      <c r="F769" s="45"/>
      <c r="G769" s="161"/>
      <c r="H769" s="36"/>
      <c r="I769" s="36"/>
    </row>
    <row r="770" spans="3:9">
      <c r="C770" s="164"/>
      <c r="D770" s="63"/>
      <c r="E770" s="160"/>
      <c r="F770" s="45"/>
      <c r="G770" s="161"/>
      <c r="H770" s="36"/>
      <c r="I770" s="36"/>
    </row>
    <row r="771" spans="3:9">
      <c r="C771" s="164"/>
      <c r="D771" s="63"/>
      <c r="E771" s="160"/>
      <c r="F771" s="45"/>
      <c r="G771" s="161"/>
      <c r="H771" s="36"/>
      <c r="I771" s="36"/>
    </row>
    <row r="772" spans="3:9">
      <c r="C772" s="164"/>
      <c r="D772" s="63"/>
      <c r="E772" s="160"/>
      <c r="F772" s="45"/>
      <c r="G772" s="161"/>
      <c r="H772" s="36"/>
      <c r="I772" s="36"/>
    </row>
    <row r="773" spans="3:9">
      <c r="C773" s="164"/>
      <c r="D773" s="63"/>
      <c r="E773" s="160"/>
      <c r="F773" s="45"/>
      <c r="G773" s="161"/>
      <c r="H773" s="36"/>
      <c r="I773" s="36"/>
    </row>
    <row r="774" spans="3:9">
      <c r="C774" s="164"/>
      <c r="D774" s="63"/>
      <c r="E774" s="160"/>
      <c r="F774" s="45"/>
      <c r="G774" s="161"/>
      <c r="H774" s="36"/>
      <c r="I774" s="36"/>
    </row>
    <row r="775" spans="3:9">
      <c r="C775" s="164"/>
      <c r="D775" s="63"/>
      <c r="E775" s="160"/>
      <c r="F775" s="45"/>
      <c r="G775" s="161"/>
      <c r="H775" s="36"/>
      <c r="I775" s="36"/>
    </row>
    <row r="776" spans="3:9">
      <c r="C776" s="164"/>
      <c r="D776" s="63"/>
      <c r="E776" s="160"/>
      <c r="F776" s="45"/>
      <c r="G776" s="161"/>
      <c r="H776" s="36"/>
      <c r="I776" s="36"/>
    </row>
    <row r="777" spans="3:9">
      <c r="C777" s="164"/>
      <c r="D777" s="63"/>
      <c r="E777" s="160"/>
      <c r="F777" s="45"/>
      <c r="G777" s="161"/>
      <c r="H777" s="36"/>
      <c r="I777" s="36"/>
    </row>
    <row r="778" spans="3:9">
      <c r="C778" s="164"/>
      <c r="D778" s="63"/>
      <c r="E778" s="160"/>
      <c r="F778" s="45"/>
      <c r="G778" s="161"/>
      <c r="H778" s="36"/>
      <c r="I778" s="36"/>
    </row>
    <row r="779" spans="3:9">
      <c r="C779" s="164"/>
      <c r="D779" s="63"/>
      <c r="E779" s="160"/>
      <c r="F779" s="45"/>
      <c r="G779" s="161"/>
      <c r="H779" s="36"/>
      <c r="I779" s="36"/>
    </row>
    <row r="780" spans="3:9">
      <c r="C780" s="164"/>
      <c r="D780" s="63"/>
      <c r="E780" s="160"/>
      <c r="F780" s="45"/>
      <c r="G780" s="161"/>
      <c r="H780" s="36"/>
      <c r="I780" s="36"/>
    </row>
    <row r="781" spans="3:9">
      <c r="C781" s="164"/>
      <c r="D781" s="63"/>
      <c r="E781" s="160"/>
      <c r="F781" s="45"/>
      <c r="G781" s="161"/>
      <c r="H781" s="36"/>
      <c r="I781" s="36"/>
    </row>
    <row r="782" spans="3:9">
      <c r="C782" s="164"/>
      <c r="D782" s="63"/>
      <c r="E782" s="160"/>
      <c r="F782" s="45"/>
      <c r="G782" s="161"/>
      <c r="H782" s="36"/>
      <c r="I782" s="36"/>
    </row>
    <row r="783" spans="3:9">
      <c r="C783" s="164"/>
      <c r="D783" s="63"/>
      <c r="E783" s="160"/>
      <c r="F783" s="45"/>
      <c r="G783" s="161"/>
      <c r="H783" s="36"/>
      <c r="I783" s="36"/>
    </row>
    <row r="784" spans="3:9">
      <c r="C784" s="164"/>
      <c r="D784" s="63"/>
      <c r="E784" s="160"/>
      <c r="F784" s="45"/>
      <c r="G784" s="161"/>
      <c r="H784" s="36"/>
      <c r="I784" s="36"/>
    </row>
    <row r="785" spans="3:9">
      <c r="C785" s="164"/>
      <c r="D785" s="63"/>
      <c r="E785" s="160"/>
      <c r="F785" s="45"/>
      <c r="G785" s="161"/>
      <c r="H785" s="36"/>
      <c r="I785" s="36"/>
    </row>
    <row r="786" spans="3:9">
      <c r="C786" s="164"/>
      <c r="D786" s="63"/>
      <c r="E786" s="160"/>
      <c r="F786" s="45"/>
      <c r="G786" s="161"/>
      <c r="H786" s="36"/>
      <c r="I786" s="36"/>
    </row>
    <row r="787" spans="3:9">
      <c r="C787" s="164"/>
      <c r="D787" s="63"/>
      <c r="E787" s="160"/>
      <c r="F787" s="45"/>
      <c r="G787" s="161"/>
      <c r="H787" s="36"/>
      <c r="I787" s="36"/>
    </row>
    <row r="788" spans="3:9">
      <c r="C788" s="164"/>
      <c r="D788" s="63"/>
      <c r="E788" s="160"/>
      <c r="F788" s="45"/>
      <c r="G788" s="161"/>
      <c r="H788" s="36"/>
      <c r="I788" s="36"/>
    </row>
    <row r="789" spans="3:9">
      <c r="C789" s="164"/>
      <c r="D789" s="63"/>
      <c r="E789" s="160"/>
      <c r="F789" s="45"/>
      <c r="G789" s="161"/>
      <c r="H789" s="36"/>
      <c r="I789" s="36"/>
    </row>
    <row r="790" spans="3:9">
      <c r="C790" s="164"/>
      <c r="D790" s="63"/>
      <c r="E790" s="160"/>
      <c r="F790" s="45"/>
      <c r="G790" s="161"/>
      <c r="H790" s="36"/>
      <c r="I790" s="36"/>
    </row>
    <row r="791" spans="3:9">
      <c r="C791" s="164"/>
      <c r="D791" s="63"/>
      <c r="E791" s="160"/>
      <c r="F791" s="45"/>
      <c r="G791" s="161"/>
      <c r="H791" s="36"/>
      <c r="I791" s="36"/>
    </row>
    <row r="792" spans="3:9">
      <c r="C792" s="164"/>
      <c r="D792" s="63"/>
      <c r="E792" s="160"/>
      <c r="F792" s="45"/>
      <c r="G792" s="161"/>
      <c r="H792" s="36"/>
      <c r="I792" s="36"/>
    </row>
    <row r="793" spans="3:9">
      <c r="C793" s="164"/>
      <c r="D793" s="63"/>
      <c r="E793" s="160"/>
      <c r="F793" s="45"/>
      <c r="G793" s="161"/>
      <c r="H793" s="36"/>
      <c r="I793" s="36"/>
    </row>
    <row r="794" spans="3:9">
      <c r="C794" s="164"/>
      <c r="D794" s="63"/>
      <c r="E794" s="160"/>
      <c r="F794" s="45"/>
      <c r="G794" s="161"/>
      <c r="H794" s="36"/>
      <c r="I794" s="36"/>
    </row>
    <row r="795" spans="3:9">
      <c r="C795" s="164"/>
      <c r="D795" s="63"/>
      <c r="E795" s="160"/>
      <c r="F795" s="45"/>
      <c r="G795" s="161"/>
      <c r="H795" s="36"/>
      <c r="I795" s="36"/>
    </row>
    <row r="796" spans="3:9">
      <c r="C796" s="164"/>
      <c r="D796" s="63"/>
      <c r="E796" s="160"/>
      <c r="F796" s="45"/>
      <c r="G796" s="161"/>
      <c r="H796" s="36"/>
      <c r="I796" s="36"/>
    </row>
    <row r="797" spans="3:9">
      <c r="C797" s="164"/>
      <c r="D797" s="63"/>
      <c r="E797" s="160"/>
      <c r="F797" s="45"/>
      <c r="G797" s="161"/>
      <c r="H797" s="36"/>
      <c r="I797" s="36"/>
    </row>
    <row r="798" spans="3:9">
      <c r="C798" s="164"/>
      <c r="D798" s="63"/>
      <c r="E798" s="160"/>
      <c r="F798" s="45"/>
      <c r="G798" s="161"/>
      <c r="H798" s="36"/>
      <c r="I798" s="36"/>
    </row>
    <row r="799" spans="3:9">
      <c r="C799" s="164"/>
      <c r="D799" s="63"/>
      <c r="E799" s="160"/>
      <c r="F799" s="45"/>
      <c r="G799" s="161"/>
      <c r="H799" s="36"/>
      <c r="I799" s="36"/>
    </row>
    <row r="800" spans="3:9">
      <c r="C800" s="164"/>
      <c r="D800" s="63"/>
      <c r="E800" s="160"/>
      <c r="F800" s="45"/>
      <c r="G800" s="161"/>
      <c r="H800" s="36"/>
      <c r="I800" s="36"/>
    </row>
    <row r="801" spans="3:9">
      <c r="C801" s="164"/>
      <c r="D801" s="63"/>
      <c r="E801" s="160"/>
      <c r="F801" s="45"/>
      <c r="G801" s="161"/>
      <c r="H801" s="36"/>
      <c r="I801" s="36"/>
    </row>
    <row r="802" spans="3:9">
      <c r="C802" s="164"/>
      <c r="D802" s="63"/>
      <c r="E802" s="160"/>
      <c r="F802" s="45"/>
      <c r="G802" s="161"/>
      <c r="H802" s="36"/>
      <c r="I802" s="36"/>
    </row>
    <row r="803" spans="3:9">
      <c r="C803" s="164"/>
      <c r="D803" s="63"/>
      <c r="E803" s="160"/>
      <c r="F803" s="45"/>
      <c r="G803" s="161"/>
      <c r="H803" s="36"/>
      <c r="I803" s="36"/>
    </row>
    <row r="804" spans="3:9">
      <c r="C804" s="164"/>
      <c r="D804" s="63"/>
      <c r="E804" s="160"/>
      <c r="F804" s="45"/>
      <c r="G804" s="161"/>
      <c r="H804" s="36"/>
      <c r="I804" s="36"/>
    </row>
    <row r="805" spans="3:9">
      <c r="C805" s="164"/>
      <c r="D805" s="63"/>
      <c r="E805" s="160"/>
      <c r="F805" s="45"/>
      <c r="G805" s="161"/>
      <c r="H805" s="36"/>
      <c r="I805" s="36"/>
    </row>
    <row r="806" spans="3:9">
      <c r="C806" s="164"/>
      <c r="D806" s="63"/>
      <c r="E806" s="160"/>
      <c r="F806" s="45"/>
      <c r="G806" s="161"/>
      <c r="H806" s="36"/>
      <c r="I806" s="36"/>
    </row>
    <row r="807" spans="3:9">
      <c r="C807" s="164"/>
      <c r="D807" s="63"/>
      <c r="E807" s="160"/>
      <c r="F807" s="45"/>
      <c r="G807" s="161"/>
      <c r="H807" s="36"/>
      <c r="I807" s="36"/>
    </row>
    <row r="808" spans="3:9">
      <c r="C808" s="164"/>
      <c r="D808" s="63"/>
      <c r="E808" s="160"/>
      <c r="F808" s="45"/>
      <c r="G808" s="161"/>
      <c r="H808" s="36"/>
      <c r="I808" s="36"/>
    </row>
    <row r="809" spans="3:9">
      <c r="C809" s="164"/>
      <c r="D809" s="63"/>
      <c r="E809" s="160"/>
      <c r="F809" s="45"/>
      <c r="G809" s="161"/>
      <c r="H809" s="36"/>
      <c r="I809" s="36"/>
    </row>
    <row r="810" spans="3:9">
      <c r="C810" s="164"/>
      <c r="D810" s="63"/>
      <c r="E810" s="160"/>
      <c r="F810" s="45"/>
      <c r="G810" s="161"/>
      <c r="H810" s="36"/>
      <c r="I810" s="36"/>
    </row>
    <row r="811" spans="3:9">
      <c r="C811" s="164"/>
      <c r="D811" s="63"/>
      <c r="E811" s="160"/>
      <c r="F811" s="45"/>
      <c r="G811" s="161"/>
      <c r="H811" s="36"/>
      <c r="I811" s="36"/>
    </row>
    <row r="812" spans="3:9">
      <c r="C812" s="164"/>
      <c r="D812" s="63"/>
      <c r="E812" s="160"/>
      <c r="F812" s="45"/>
      <c r="G812" s="161"/>
      <c r="H812" s="36"/>
      <c r="I812" s="36"/>
    </row>
    <row r="813" spans="3:9">
      <c r="C813" s="164"/>
      <c r="D813" s="63"/>
      <c r="E813" s="160"/>
      <c r="F813" s="45"/>
      <c r="G813" s="161"/>
      <c r="H813" s="36"/>
      <c r="I813" s="36"/>
    </row>
    <row r="814" spans="3:9">
      <c r="C814" s="164"/>
      <c r="D814" s="63"/>
      <c r="E814" s="160"/>
      <c r="F814" s="45"/>
      <c r="G814" s="161"/>
      <c r="H814" s="36"/>
      <c r="I814" s="36"/>
    </row>
    <row r="815" spans="3:9">
      <c r="C815" s="164"/>
      <c r="D815" s="63"/>
      <c r="E815" s="160"/>
      <c r="F815" s="45"/>
      <c r="G815" s="161"/>
      <c r="H815" s="36"/>
      <c r="I815" s="36"/>
    </row>
    <row r="816" spans="3:9">
      <c r="C816" s="164"/>
      <c r="D816" s="63"/>
      <c r="E816" s="160"/>
      <c r="F816" s="45"/>
      <c r="G816" s="161"/>
      <c r="H816" s="36"/>
      <c r="I816" s="36"/>
    </row>
    <row r="817" spans="3:9">
      <c r="C817" s="164"/>
      <c r="D817" s="63"/>
      <c r="E817" s="160"/>
      <c r="F817" s="45"/>
      <c r="G817" s="161"/>
      <c r="H817" s="36"/>
      <c r="I817" s="36"/>
    </row>
    <row r="818" spans="3:9">
      <c r="C818" s="164"/>
      <c r="D818" s="63"/>
      <c r="E818" s="160"/>
      <c r="F818" s="45"/>
      <c r="G818" s="161"/>
      <c r="H818" s="36"/>
      <c r="I818" s="36"/>
    </row>
    <row r="819" spans="3:9">
      <c r="C819" s="164"/>
      <c r="D819" s="63"/>
      <c r="E819" s="160"/>
      <c r="F819" s="45"/>
      <c r="G819" s="161"/>
      <c r="H819" s="36"/>
      <c r="I819" s="36"/>
    </row>
    <row r="820" spans="3:9">
      <c r="C820" s="164"/>
      <c r="D820" s="63"/>
      <c r="E820" s="160"/>
      <c r="F820" s="45"/>
      <c r="G820" s="161"/>
      <c r="H820" s="36"/>
      <c r="I820" s="36"/>
    </row>
    <row r="821" spans="3:9">
      <c r="C821" s="164"/>
      <c r="D821" s="63"/>
      <c r="E821" s="160"/>
      <c r="F821" s="45"/>
      <c r="G821" s="161"/>
      <c r="H821" s="36"/>
      <c r="I821" s="36"/>
    </row>
    <row r="822" spans="3:9">
      <c r="C822" s="164"/>
      <c r="D822" s="63"/>
      <c r="E822" s="160"/>
      <c r="F822" s="45"/>
      <c r="G822" s="161"/>
      <c r="H822" s="36"/>
      <c r="I822" s="36"/>
    </row>
    <row r="823" spans="3:9">
      <c r="C823" s="164"/>
      <c r="D823" s="63"/>
      <c r="E823" s="160"/>
      <c r="F823" s="45"/>
      <c r="G823" s="161"/>
      <c r="H823" s="36"/>
      <c r="I823" s="36"/>
    </row>
    <row r="824" spans="3:9">
      <c r="C824" s="164"/>
      <c r="D824" s="63"/>
      <c r="E824" s="160"/>
      <c r="F824" s="45"/>
      <c r="G824" s="161"/>
      <c r="H824" s="36"/>
      <c r="I824" s="36"/>
    </row>
    <row r="825" spans="3:9">
      <c r="C825" s="164"/>
      <c r="D825" s="63"/>
      <c r="E825" s="160"/>
      <c r="F825" s="45"/>
      <c r="G825" s="161"/>
      <c r="H825" s="36"/>
      <c r="I825" s="36"/>
    </row>
    <row r="826" spans="3:9">
      <c r="C826" s="164"/>
      <c r="D826" s="63"/>
      <c r="E826" s="160"/>
      <c r="F826" s="45"/>
      <c r="G826" s="161"/>
      <c r="H826" s="36"/>
      <c r="I826" s="36"/>
    </row>
    <row r="827" spans="3:9">
      <c r="C827" s="164"/>
      <c r="D827" s="63"/>
      <c r="E827" s="160"/>
      <c r="F827" s="45"/>
      <c r="G827" s="161"/>
      <c r="H827" s="36"/>
      <c r="I827" s="36"/>
    </row>
    <row r="828" spans="3:9">
      <c r="C828" s="164"/>
      <c r="D828" s="63"/>
      <c r="E828" s="160"/>
      <c r="F828" s="45"/>
      <c r="G828" s="161"/>
      <c r="H828" s="36"/>
      <c r="I828" s="36"/>
    </row>
    <row r="829" spans="3:9">
      <c r="C829" s="164"/>
      <c r="D829" s="63"/>
      <c r="E829" s="160"/>
      <c r="F829" s="45"/>
      <c r="G829" s="161"/>
      <c r="H829" s="36"/>
      <c r="I829" s="36"/>
    </row>
    <row r="830" spans="3:9">
      <c r="C830" s="164"/>
      <c r="D830" s="63"/>
      <c r="E830" s="160"/>
      <c r="F830" s="45"/>
      <c r="G830" s="161"/>
      <c r="H830" s="36"/>
      <c r="I830" s="36"/>
    </row>
    <row r="831" spans="3:9">
      <c r="C831" s="164"/>
      <c r="D831" s="63"/>
      <c r="E831" s="160"/>
      <c r="F831" s="45"/>
      <c r="G831" s="161"/>
      <c r="H831" s="36"/>
      <c r="I831" s="36"/>
    </row>
    <row r="832" spans="3:9">
      <c r="C832" s="164"/>
      <c r="D832" s="63"/>
      <c r="E832" s="160"/>
      <c r="F832" s="45"/>
      <c r="G832" s="161"/>
      <c r="H832" s="36"/>
      <c r="I832" s="36"/>
    </row>
    <row r="833" spans="3:9">
      <c r="C833" s="164"/>
      <c r="D833" s="63"/>
      <c r="E833" s="160"/>
      <c r="F833" s="45"/>
      <c r="G833" s="161"/>
      <c r="H833" s="36"/>
      <c r="I833" s="36"/>
    </row>
    <row r="834" spans="3:9">
      <c r="C834" s="164"/>
      <c r="D834" s="63"/>
      <c r="E834" s="160"/>
      <c r="F834" s="45"/>
      <c r="G834" s="161"/>
      <c r="H834" s="36"/>
      <c r="I834" s="36"/>
    </row>
    <row r="835" spans="3:9">
      <c r="C835" s="164"/>
      <c r="D835" s="63"/>
      <c r="E835" s="160"/>
      <c r="F835" s="45"/>
      <c r="G835" s="161"/>
      <c r="H835" s="36"/>
      <c r="I835" s="36"/>
    </row>
    <row r="836" spans="3:9">
      <c r="C836" s="164"/>
      <c r="D836" s="63"/>
      <c r="E836" s="160"/>
      <c r="F836" s="45"/>
      <c r="G836" s="161"/>
      <c r="H836" s="36"/>
      <c r="I836" s="36"/>
    </row>
    <row r="837" spans="3:9">
      <c r="C837" s="164"/>
      <c r="D837" s="63"/>
      <c r="E837" s="160"/>
      <c r="F837" s="45"/>
      <c r="G837" s="161"/>
      <c r="H837" s="36"/>
      <c r="I837" s="36"/>
    </row>
    <row r="838" spans="3:9">
      <c r="C838" s="164"/>
      <c r="D838" s="63"/>
      <c r="E838" s="160"/>
      <c r="F838" s="45"/>
      <c r="G838" s="161"/>
      <c r="H838" s="36"/>
      <c r="I838" s="36"/>
    </row>
    <row r="839" spans="3:9">
      <c r="C839" s="164"/>
      <c r="D839" s="63"/>
      <c r="E839" s="160"/>
      <c r="F839" s="45"/>
      <c r="G839" s="161"/>
      <c r="H839" s="36"/>
      <c r="I839" s="36"/>
    </row>
    <row r="840" spans="3:9">
      <c r="C840" s="164"/>
      <c r="D840" s="63"/>
      <c r="E840" s="160"/>
      <c r="F840" s="45"/>
      <c r="G840" s="161"/>
      <c r="H840" s="36"/>
      <c r="I840" s="36"/>
    </row>
    <row r="841" spans="3:9">
      <c r="C841" s="164"/>
      <c r="D841" s="63"/>
      <c r="E841" s="160"/>
      <c r="F841" s="45"/>
      <c r="G841" s="161"/>
      <c r="H841" s="36"/>
      <c r="I841" s="36"/>
    </row>
    <row r="842" spans="3:9">
      <c r="C842" s="164"/>
      <c r="D842" s="63"/>
      <c r="E842" s="160"/>
      <c r="F842" s="45"/>
      <c r="G842" s="161"/>
      <c r="H842" s="36"/>
      <c r="I842" s="36"/>
    </row>
    <row r="843" spans="3:9">
      <c r="C843" s="164"/>
      <c r="D843" s="63"/>
      <c r="E843" s="160"/>
      <c r="F843" s="45"/>
      <c r="G843" s="161"/>
      <c r="H843" s="36"/>
      <c r="I843" s="36"/>
    </row>
    <row r="844" spans="3:9">
      <c r="C844" s="164"/>
      <c r="D844" s="63"/>
      <c r="E844" s="160"/>
      <c r="F844" s="45"/>
      <c r="G844" s="161"/>
      <c r="H844" s="36"/>
      <c r="I844" s="36"/>
    </row>
    <row r="845" spans="3:9">
      <c r="C845" s="164"/>
      <c r="D845" s="63"/>
      <c r="E845" s="160"/>
      <c r="F845" s="45"/>
      <c r="G845" s="161"/>
      <c r="H845" s="36"/>
      <c r="I845" s="36"/>
    </row>
    <row r="846" spans="3:9">
      <c r="C846" s="164"/>
      <c r="D846" s="63"/>
      <c r="E846" s="160"/>
      <c r="F846" s="45"/>
      <c r="G846" s="161"/>
      <c r="H846" s="36"/>
      <c r="I846" s="36"/>
    </row>
    <row r="847" spans="3:9">
      <c r="C847" s="164"/>
      <c r="D847" s="63"/>
      <c r="E847" s="160"/>
      <c r="F847" s="45"/>
      <c r="G847" s="161"/>
      <c r="H847" s="36"/>
      <c r="I847" s="36"/>
    </row>
    <row r="848" spans="3:9">
      <c r="C848" s="164"/>
      <c r="D848" s="63"/>
      <c r="E848" s="160"/>
      <c r="F848" s="45"/>
      <c r="G848" s="161"/>
      <c r="H848" s="36"/>
      <c r="I848" s="36"/>
    </row>
    <row r="849" spans="3:9">
      <c r="C849" s="164"/>
      <c r="D849" s="63"/>
      <c r="E849" s="160"/>
      <c r="F849" s="45"/>
      <c r="G849" s="161"/>
      <c r="H849" s="36"/>
      <c r="I849" s="36"/>
    </row>
    <row r="850" spans="3:9">
      <c r="C850" s="164"/>
      <c r="D850" s="63"/>
      <c r="E850" s="160"/>
      <c r="F850" s="45"/>
      <c r="G850" s="161"/>
      <c r="H850" s="36"/>
      <c r="I850" s="36"/>
    </row>
    <row r="851" spans="3:9">
      <c r="C851" s="164"/>
      <c r="D851" s="63"/>
      <c r="E851" s="160"/>
      <c r="F851" s="45"/>
      <c r="G851" s="161"/>
      <c r="H851" s="36"/>
      <c r="I851" s="36"/>
    </row>
    <row r="852" spans="3:9">
      <c r="C852" s="164"/>
      <c r="D852" s="63"/>
      <c r="E852" s="160"/>
      <c r="F852" s="45"/>
      <c r="G852" s="161"/>
      <c r="H852" s="36"/>
      <c r="I852" s="36"/>
    </row>
    <row r="853" spans="3:9">
      <c r="C853" s="164"/>
      <c r="D853" s="63"/>
      <c r="E853" s="160"/>
      <c r="F853" s="45"/>
      <c r="G853" s="161"/>
      <c r="H853" s="36"/>
      <c r="I853" s="36"/>
    </row>
    <row r="854" spans="3:9">
      <c r="C854" s="164"/>
      <c r="D854" s="63"/>
      <c r="E854" s="160"/>
      <c r="F854" s="45"/>
      <c r="G854" s="161"/>
      <c r="H854" s="36"/>
      <c r="I854" s="36"/>
    </row>
    <row r="855" spans="3:9">
      <c r="C855" s="164"/>
      <c r="D855" s="63"/>
      <c r="E855" s="160"/>
      <c r="F855" s="45"/>
      <c r="G855" s="161"/>
      <c r="H855" s="36"/>
      <c r="I855" s="36"/>
    </row>
    <row r="856" spans="3:9">
      <c r="C856" s="164"/>
      <c r="D856" s="63"/>
      <c r="E856" s="160"/>
      <c r="F856" s="45"/>
      <c r="G856" s="161"/>
      <c r="H856" s="36"/>
      <c r="I856" s="36"/>
    </row>
    <row r="857" spans="3:9">
      <c r="C857" s="164"/>
      <c r="D857" s="63"/>
      <c r="E857" s="160"/>
      <c r="F857" s="45"/>
      <c r="G857" s="161"/>
      <c r="H857" s="36"/>
      <c r="I857" s="36"/>
    </row>
    <row r="858" spans="3:9">
      <c r="C858" s="164"/>
      <c r="D858" s="63"/>
      <c r="E858" s="160"/>
      <c r="F858" s="45"/>
      <c r="G858" s="161"/>
      <c r="H858" s="36"/>
      <c r="I858" s="36"/>
    </row>
    <row r="859" spans="3:9">
      <c r="C859" s="164"/>
      <c r="D859" s="63"/>
      <c r="E859" s="160"/>
      <c r="F859" s="45"/>
      <c r="G859" s="161"/>
      <c r="H859" s="36"/>
      <c r="I859" s="36"/>
    </row>
    <row r="860" spans="3:9">
      <c r="C860" s="164"/>
      <c r="D860" s="63"/>
      <c r="E860" s="160"/>
      <c r="F860" s="45"/>
      <c r="G860" s="161"/>
      <c r="H860" s="36"/>
      <c r="I860" s="36"/>
    </row>
    <row r="861" spans="3:9">
      <c r="C861" s="164"/>
      <c r="D861" s="63"/>
      <c r="E861" s="160"/>
      <c r="F861" s="45"/>
      <c r="G861" s="161"/>
      <c r="H861" s="36"/>
      <c r="I861" s="36"/>
    </row>
    <row r="862" spans="3:9">
      <c r="C862" s="164"/>
      <c r="D862" s="63"/>
      <c r="E862" s="160"/>
      <c r="F862" s="45"/>
      <c r="G862" s="161"/>
      <c r="H862" s="36"/>
      <c r="I862" s="36"/>
    </row>
    <row r="863" spans="3:9">
      <c r="C863" s="164"/>
      <c r="D863" s="63"/>
      <c r="E863" s="160"/>
      <c r="F863" s="45"/>
      <c r="G863" s="161"/>
      <c r="H863" s="36"/>
      <c r="I863" s="36"/>
    </row>
    <row r="864" spans="3:9">
      <c r="C864" s="164"/>
      <c r="D864" s="63"/>
      <c r="E864" s="160"/>
      <c r="F864" s="45"/>
      <c r="G864" s="161"/>
      <c r="H864" s="36"/>
      <c r="I864" s="36"/>
    </row>
    <row r="865" spans="3:9">
      <c r="C865" s="164"/>
      <c r="D865" s="63"/>
      <c r="E865" s="160"/>
      <c r="F865" s="45"/>
      <c r="G865" s="161"/>
      <c r="H865" s="36"/>
      <c r="I865" s="36"/>
    </row>
    <row r="866" spans="3:9">
      <c r="C866" s="164"/>
      <c r="D866" s="63"/>
      <c r="E866" s="160"/>
      <c r="F866" s="45"/>
      <c r="G866" s="161"/>
      <c r="H866" s="36"/>
      <c r="I866" s="36"/>
    </row>
    <row r="867" spans="3:9">
      <c r="C867" s="164"/>
      <c r="D867" s="63"/>
      <c r="E867" s="160"/>
      <c r="F867" s="45"/>
      <c r="G867" s="161"/>
      <c r="H867" s="36"/>
      <c r="I867" s="36"/>
    </row>
    <row r="868" spans="3:9">
      <c r="C868" s="164"/>
      <c r="D868" s="63"/>
      <c r="E868" s="160"/>
      <c r="F868" s="45"/>
      <c r="G868" s="161"/>
      <c r="H868" s="36"/>
      <c r="I868" s="36"/>
    </row>
    <row r="869" spans="3:9">
      <c r="C869" s="164"/>
      <c r="D869" s="63"/>
      <c r="E869" s="160"/>
      <c r="F869" s="45"/>
      <c r="G869" s="161"/>
      <c r="H869" s="36"/>
      <c r="I869" s="36"/>
    </row>
    <row r="870" spans="3:9">
      <c r="C870" s="164"/>
      <c r="D870" s="63"/>
      <c r="E870" s="160"/>
      <c r="F870" s="45"/>
      <c r="G870" s="161"/>
      <c r="H870" s="36"/>
      <c r="I870" s="36"/>
    </row>
    <row r="871" spans="3:9">
      <c r="C871" s="164"/>
      <c r="D871" s="63"/>
      <c r="E871" s="160"/>
      <c r="F871" s="45"/>
      <c r="G871" s="161"/>
      <c r="H871" s="36"/>
      <c r="I871" s="36"/>
    </row>
    <row r="872" spans="3:9">
      <c r="C872" s="164"/>
      <c r="D872" s="63"/>
      <c r="E872" s="160"/>
      <c r="F872" s="45"/>
      <c r="G872" s="161"/>
      <c r="H872" s="36"/>
      <c r="I872" s="36"/>
    </row>
    <row r="873" spans="3:9">
      <c r="C873" s="164"/>
      <c r="D873" s="63"/>
      <c r="E873" s="160"/>
      <c r="F873" s="45"/>
      <c r="G873" s="161"/>
      <c r="H873" s="36"/>
      <c r="I873" s="36"/>
    </row>
    <row r="874" spans="3:9">
      <c r="C874" s="164"/>
      <c r="D874" s="63"/>
      <c r="E874" s="160"/>
      <c r="F874" s="45"/>
      <c r="G874" s="161"/>
      <c r="H874" s="36"/>
      <c r="I874" s="36"/>
    </row>
    <row r="875" spans="3:9">
      <c r="C875" s="164"/>
      <c r="D875" s="63"/>
      <c r="E875" s="160"/>
      <c r="F875" s="45"/>
      <c r="G875" s="161"/>
      <c r="H875" s="36"/>
      <c r="I875" s="36"/>
    </row>
    <row r="876" spans="3:9">
      <c r="C876" s="164"/>
      <c r="D876" s="63"/>
      <c r="E876" s="160"/>
      <c r="F876" s="45"/>
      <c r="G876" s="161"/>
      <c r="H876" s="36"/>
      <c r="I876" s="36"/>
    </row>
    <row r="877" spans="3:9">
      <c r="C877" s="164"/>
      <c r="D877" s="63"/>
      <c r="E877" s="160"/>
      <c r="F877" s="45"/>
      <c r="G877" s="161"/>
      <c r="H877" s="36"/>
      <c r="I877" s="36"/>
    </row>
    <row r="878" spans="3:9">
      <c r="C878" s="164"/>
      <c r="D878" s="63"/>
      <c r="E878" s="160"/>
      <c r="F878" s="45"/>
      <c r="G878" s="161"/>
      <c r="H878" s="36"/>
      <c r="I878" s="36"/>
    </row>
    <row r="879" spans="3:9">
      <c r="C879" s="164"/>
      <c r="D879" s="63"/>
      <c r="E879" s="160"/>
      <c r="F879" s="45"/>
      <c r="G879" s="161"/>
      <c r="H879" s="36"/>
      <c r="I879" s="36"/>
    </row>
    <row r="880" spans="3:9">
      <c r="C880" s="164"/>
      <c r="D880" s="63"/>
      <c r="E880" s="160"/>
      <c r="F880" s="45"/>
      <c r="G880" s="161"/>
      <c r="H880" s="36"/>
      <c r="I880" s="36"/>
    </row>
    <row r="881" spans="3:9">
      <c r="C881" s="164"/>
      <c r="D881" s="63"/>
      <c r="E881" s="160"/>
      <c r="F881" s="45"/>
      <c r="G881" s="161"/>
      <c r="H881" s="36"/>
      <c r="I881" s="36"/>
    </row>
    <row r="882" spans="3:9">
      <c r="C882" s="164"/>
      <c r="D882" s="63"/>
      <c r="E882" s="160"/>
      <c r="F882" s="45"/>
      <c r="G882" s="161"/>
      <c r="H882" s="36"/>
      <c r="I882" s="36"/>
    </row>
    <row r="883" spans="3:9">
      <c r="C883" s="164"/>
      <c r="D883" s="63"/>
      <c r="E883" s="160"/>
      <c r="F883" s="45"/>
      <c r="G883" s="161"/>
      <c r="H883" s="36"/>
      <c r="I883" s="36"/>
    </row>
    <row r="884" spans="3:9">
      <c r="C884" s="164"/>
      <c r="D884" s="63"/>
      <c r="E884" s="160"/>
      <c r="F884" s="45"/>
      <c r="G884" s="161"/>
      <c r="H884" s="36"/>
      <c r="I884" s="36"/>
    </row>
    <row r="885" spans="3:9">
      <c r="C885" s="164"/>
      <c r="D885" s="63"/>
      <c r="E885" s="160"/>
      <c r="F885" s="45"/>
      <c r="G885" s="161"/>
      <c r="H885" s="36"/>
      <c r="I885" s="36"/>
    </row>
    <row r="886" spans="3:9">
      <c r="C886" s="164"/>
      <c r="D886" s="63"/>
      <c r="E886" s="160"/>
      <c r="F886" s="45"/>
      <c r="G886" s="161"/>
      <c r="H886" s="36"/>
      <c r="I886" s="36"/>
    </row>
    <row r="887" spans="3:9">
      <c r="C887" s="164"/>
      <c r="D887" s="63"/>
      <c r="E887" s="160"/>
      <c r="F887" s="45"/>
      <c r="G887" s="161"/>
      <c r="H887" s="36"/>
      <c r="I887" s="36"/>
    </row>
    <row r="888" spans="3:9">
      <c r="C888" s="164"/>
      <c r="D888" s="63"/>
      <c r="E888" s="160"/>
      <c r="F888" s="45"/>
      <c r="G888" s="161"/>
      <c r="H888" s="36"/>
      <c r="I888" s="36"/>
    </row>
    <row r="889" spans="3:9">
      <c r="C889" s="164"/>
      <c r="D889" s="63"/>
      <c r="E889" s="160"/>
      <c r="F889" s="45"/>
      <c r="G889" s="161"/>
      <c r="H889" s="36"/>
      <c r="I889" s="36"/>
    </row>
    <row r="890" spans="3:9">
      <c r="C890" s="164"/>
      <c r="D890" s="63"/>
      <c r="E890" s="160"/>
      <c r="F890" s="45"/>
      <c r="G890" s="161"/>
      <c r="H890" s="36"/>
      <c r="I890" s="36"/>
    </row>
    <row r="891" spans="3:9">
      <c r="C891" s="164"/>
      <c r="D891" s="63"/>
      <c r="E891" s="160"/>
      <c r="F891" s="45"/>
      <c r="G891" s="161"/>
      <c r="H891" s="36"/>
      <c r="I891" s="36"/>
    </row>
    <row r="892" spans="3:9">
      <c r="C892" s="164"/>
      <c r="D892" s="63"/>
      <c r="E892" s="160"/>
      <c r="F892" s="45"/>
      <c r="G892" s="161"/>
      <c r="H892" s="36"/>
      <c r="I892" s="36"/>
    </row>
    <row r="893" spans="3:9">
      <c r="C893" s="164"/>
      <c r="D893" s="63"/>
      <c r="E893" s="160"/>
      <c r="F893" s="45"/>
      <c r="G893" s="161"/>
      <c r="H893" s="36"/>
      <c r="I893" s="36"/>
    </row>
    <row r="894" spans="3:9">
      <c r="C894" s="164"/>
      <c r="D894" s="63"/>
      <c r="E894" s="160"/>
      <c r="F894" s="45"/>
      <c r="G894" s="161"/>
      <c r="H894" s="36"/>
      <c r="I894" s="36"/>
    </row>
    <row r="895" spans="3:9">
      <c r="C895" s="164"/>
      <c r="D895" s="63"/>
      <c r="E895" s="160"/>
      <c r="F895" s="45"/>
      <c r="G895" s="161"/>
      <c r="H895" s="36"/>
      <c r="I895" s="36"/>
    </row>
    <row r="896" spans="3:9">
      <c r="C896" s="164"/>
      <c r="D896" s="63"/>
      <c r="E896" s="160"/>
      <c r="F896" s="45"/>
      <c r="G896" s="161"/>
      <c r="H896" s="36"/>
      <c r="I896" s="36"/>
    </row>
    <row r="897" spans="3:9">
      <c r="C897" s="164"/>
      <c r="D897" s="63"/>
      <c r="E897" s="160"/>
      <c r="F897" s="45"/>
      <c r="G897" s="161"/>
      <c r="H897" s="36"/>
      <c r="I897" s="36"/>
    </row>
    <row r="898" spans="3:9">
      <c r="C898" s="164"/>
      <c r="D898" s="63"/>
      <c r="E898" s="160"/>
      <c r="F898" s="45"/>
      <c r="G898" s="161"/>
      <c r="H898" s="36"/>
      <c r="I898" s="36"/>
    </row>
    <row r="899" spans="3:9">
      <c r="C899" s="164"/>
      <c r="D899" s="63"/>
      <c r="E899" s="160"/>
      <c r="F899" s="45"/>
      <c r="G899" s="161"/>
      <c r="H899" s="36"/>
      <c r="I899" s="36"/>
    </row>
    <row r="900" spans="3:9">
      <c r="C900" s="164"/>
      <c r="D900" s="63"/>
      <c r="E900" s="160"/>
      <c r="F900" s="45"/>
      <c r="G900" s="161"/>
      <c r="H900" s="36"/>
      <c r="I900" s="36"/>
    </row>
    <row r="901" spans="3:9">
      <c r="C901" s="164"/>
      <c r="D901" s="63"/>
      <c r="E901" s="160"/>
      <c r="F901" s="45"/>
      <c r="G901" s="161"/>
      <c r="H901" s="36"/>
      <c r="I901" s="36"/>
    </row>
    <row r="902" spans="3:9">
      <c r="C902" s="164"/>
      <c r="D902" s="63"/>
      <c r="E902" s="160"/>
      <c r="F902" s="45"/>
      <c r="G902" s="161"/>
      <c r="H902" s="36"/>
      <c r="I902" s="36"/>
    </row>
    <row r="903" spans="3:9">
      <c r="C903" s="164"/>
      <c r="D903" s="63"/>
      <c r="E903" s="160"/>
      <c r="F903" s="45"/>
      <c r="G903" s="161"/>
      <c r="H903" s="36"/>
      <c r="I903" s="36"/>
    </row>
    <row r="904" spans="3:9">
      <c r="C904" s="164"/>
      <c r="D904" s="63"/>
      <c r="E904" s="160"/>
      <c r="F904" s="45"/>
      <c r="G904" s="161"/>
      <c r="H904" s="36"/>
      <c r="I904" s="36"/>
    </row>
    <row r="905" spans="3:9">
      <c r="C905" s="164"/>
      <c r="D905" s="63"/>
      <c r="E905" s="160"/>
      <c r="F905" s="45"/>
      <c r="G905" s="161"/>
      <c r="H905" s="36"/>
      <c r="I905" s="36"/>
    </row>
    <row r="906" spans="3:9">
      <c r="C906" s="164"/>
      <c r="D906" s="63"/>
      <c r="E906" s="160"/>
      <c r="F906" s="45"/>
      <c r="G906" s="161"/>
      <c r="H906" s="36"/>
      <c r="I906" s="36"/>
    </row>
    <row r="907" spans="3:9">
      <c r="C907" s="164"/>
      <c r="D907" s="63"/>
      <c r="E907" s="160"/>
      <c r="F907" s="45"/>
      <c r="G907" s="161"/>
      <c r="H907" s="36"/>
      <c r="I907" s="36"/>
    </row>
    <row r="908" spans="3:9">
      <c r="C908" s="164"/>
      <c r="D908" s="63"/>
      <c r="E908" s="160"/>
      <c r="F908" s="45"/>
      <c r="G908" s="161"/>
      <c r="H908" s="36"/>
      <c r="I908" s="36"/>
    </row>
    <row r="909" spans="3:9">
      <c r="C909" s="164"/>
      <c r="D909" s="63"/>
      <c r="E909" s="160"/>
      <c r="F909" s="45"/>
      <c r="G909" s="161"/>
      <c r="H909" s="36"/>
      <c r="I909" s="36"/>
    </row>
    <row r="910" spans="3:9">
      <c r="C910" s="164"/>
      <c r="D910" s="63"/>
      <c r="E910" s="160"/>
      <c r="F910" s="45"/>
      <c r="G910" s="161"/>
      <c r="H910" s="36"/>
      <c r="I910" s="36"/>
    </row>
    <row r="911" spans="3:9">
      <c r="C911" s="164"/>
      <c r="D911" s="63"/>
      <c r="E911" s="160"/>
      <c r="F911" s="45"/>
      <c r="G911" s="161"/>
      <c r="H911" s="36"/>
      <c r="I911" s="36"/>
    </row>
    <row r="912" spans="3:9">
      <c r="C912" s="164"/>
      <c r="D912" s="63"/>
      <c r="E912" s="160"/>
      <c r="F912" s="45"/>
      <c r="G912" s="161"/>
      <c r="H912" s="36"/>
      <c r="I912" s="36"/>
    </row>
    <row r="913" spans="3:9">
      <c r="C913" s="164"/>
      <c r="D913" s="63"/>
      <c r="E913" s="160"/>
      <c r="F913" s="45"/>
      <c r="G913" s="161"/>
      <c r="H913" s="36"/>
      <c r="I913" s="36"/>
    </row>
    <row r="914" spans="3:9">
      <c r="C914" s="164"/>
      <c r="D914" s="63"/>
      <c r="E914" s="160"/>
      <c r="F914" s="45"/>
      <c r="G914" s="161"/>
      <c r="H914" s="36"/>
      <c r="I914" s="36"/>
    </row>
    <row r="915" spans="3:9">
      <c r="C915" s="164"/>
      <c r="D915" s="63"/>
      <c r="E915" s="160"/>
      <c r="F915" s="45"/>
      <c r="G915" s="161"/>
      <c r="H915" s="36"/>
      <c r="I915" s="36"/>
    </row>
    <row r="916" spans="3:9">
      <c r="C916" s="164"/>
      <c r="D916" s="63"/>
      <c r="E916" s="160"/>
      <c r="F916" s="45"/>
      <c r="G916" s="161"/>
      <c r="H916" s="36"/>
      <c r="I916" s="36"/>
    </row>
    <row r="917" spans="3:9">
      <c r="C917" s="164"/>
      <c r="D917" s="63"/>
      <c r="E917" s="160"/>
      <c r="F917" s="45"/>
      <c r="G917" s="161"/>
      <c r="H917" s="36"/>
      <c r="I917" s="36"/>
    </row>
    <row r="918" spans="3:9">
      <c r="C918" s="164"/>
      <c r="D918" s="63"/>
      <c r="E918" s="160"/>
      <c r="F918" s="45"/>
      <c r="G918" s="161"/>
      <c r="H918" s="36"/>
      <c r="I918" s="36"/>
    </row>
    <row r="919" spans="3:9">
      <c r="C919" s="164"/>
      <c r="D919" s="63"/>
      <c r="E919" s="160"/>
      <c r="F919" s="45"/>
      <c r="G919" s="161"/>
      <c r="H919" s="36"/>
      <c r="I919" s="36"/>
    </row>
    <row r="920" spans="3:9">
      <c r="C920" s="164"/>
      <c r="D920" s="63"/>
      <c r="E920" s="160"/>
      <c r="F920" s="45"/>
      <c r="G920" s="161"/>
      <c r="H920" s="36"/>
      <c r="I920" s="36"/>
    </row>
    <row r="921" spans="3:9">
      <c r="C921" s="164"/>
      <c r="D921" s="63"/>
      <c r="E921" s="160"/>
      <c r="F921" s="45"/>
      <c r="G921" s="161"/>
      <c r="H921" s="36"/>
      <c r="I921" s="36"/>
    </row>
    <row r="922" spans="3:9">
      <c r="C922" s="164"/>
      <c r="D922" s="63"/>
      <c r="E922" s="160"/>
      <c r="F922" s="45"/>
      <c r="G922" s="161"/>
      <c r="H922" s="36"/>
      <c r="I922" s="36"/>
    </row>
    <row r="923" spans="3:9">
      <c r="C923" s="164"/>
      <c r="D923" s="63"/>
      <c r="E923" s="160"/>
      <c r="F923" s="45"/>
      <c r="G923" s="161"/>
      <c r="H923" s="36"/>
      <c r="I923" s="36"/>
    </row>
    <row r="924" spans="3:9">
      <c r="C924" s="164"/>
      <c r="D924" s="63"/>
      <c r="E924" s="160"/>
      <c r="F924" s="45"/>
      <c r="G924" s="161"/>
      <c r="H924" s="36"/>
      <c r="I924" s="36"/>
    </row>
    <row r="925" spans="3:9">
      <c r="C925" s="164"/>
      <c r="D925" s="63"/>
      <c r="E925" s="160"/>
      <c r="F925" s="45"/>
      <c r="G925" s="161"/>
      <c r="H925" s="36"/>
      <c r="I925" s="36"/>
    </row>
    <row r="926" spans="3:9">
      <c r="C926" s="164"/>
      <c r="D926" s="63"/>
      <c r="E926" s="160"/>
      <c r="F926" s="45"/>
      <c r="G926" s="161"/>
      <c r="H926" s="36"/>
      <c r="I926" s="36"/>
    </row>
    <row r="927" spans="3:9">
      <c r="C927" s="164"/>
      <c r="D927" s="63"/>
      <c r="E927" s="160"/>
      <c r="F927" s="45"/>
      <c r="G927" s="161"/>
      <c r="H927" s="36"/>
      <c r="I927" s="36"/>
    </row>
    <row r="928" spans="3:9">
      <c r="C928" s="164"/>
      <c r="D928" s="63"/>
      <c r="E928" s="160"/>
      <c r="F928" s="45"/>
      <c r="G928" s="161"/>
      <c r="H928" s="36"/>
      <c r="I928" s="36"/>
    </row>
    <row r="929" spans="3:9">
      <c r="C929" s="164"/>
      <c r="D929" s="63"/>
      <c r="E929" s="160"/>
      <c r="F929" s="45"/>
      <c r="G929" s="161"/>
      <c r="H929" s="36"/>
      <c r="I929" s="36"/>
    </row>
    <row r="930" spans="3:9">
      <c r="C930" s="164"/>
      <c r="D930" s="63"/>
      <c r="E930" s="160"/>
      <c r="F930" s="45"/>
      <c r="G930" s="161"/>
      <c r="H930" s="36"/>
      <c r="I930" s="36"/>
    </row>
    <row r="931" spans="3:9">
      <c r="C931" s="164"/>
      <c r="D931" s="63"/>
      <c r="E931" s="160"/>
      <c r="F931" s="45"/>
      <c r="G931" s="161"/>
      <c r="H931" s="36"/>
      <c r="I931" s="36"/>
    </row>
    <row r="932" spans="3:9">
      <c r="C932" s="164"/>
      <c r="D932" s="63"/>
      <c r="E932" s="160"/>
      <c r="F932" s="45"/>
      <c r="G932" s="161"/>
      <c r="H932" s="36"/>
      <c r="I932" s="36"/>
    </row>
    <row r="933" spans="3:9">
      <c r="C933" s="164"/>
      <c r="D933" s="63"/>
      <c r="E933" s="160"/>
      <c r="F933" s="45"/>
      <c r="G933" s="161"/>
      <c r="H933" s="36"/>
      <c r="I933" s="36"/>
    </row>
    <row r="934" spans="3:9">
      <c r="C934" s="164"/>
      <c r="D934" s="63"/>
      <c r="E934" s="160"/>
      <c r="F934" s="45"/>
      <c r="G934" s="161"/>
      <c r="H934" s="36"/>
      <c r="I934" s="36"/>
    </row>
    <row r="935" spans="3:9">
      <c r="C935" s="164"/>
      <c r="D935" s="63"/>
      <c r="E935" s="160"/>
      <c r="F935" s="45"/>
      <c r="G935" s="161"/>
      <c r="H935" s="36"/>
      <c r="I935" s="36"/>
    </row>
    <row r="936" spans="3:9">
      <c r="C936" s="164"/>
      <c r="D936" s="63"/>
      <c r="E936" s="160"/>
      <c r="F936" s="45"/>
      <c r="G936" s="161"/>
      <c r="H936" s="36"/>
      <c r="I936" s="36"/>
    </row>
    <row r="937" spans="3:9">
      <c r="C937" s="164"/>
      <c r="D937" s="63"/>
      <c r="E937" s="160"/>
      <c r="F937" s="45"/>
      <c r="G937" s="161"/>
      <c r="H937" s="36"/>
      <c r="I937" s="36"/>
    </row>
    <row r="938" spans="3:9">
      <c r="C938" s="164"/>
      <c r="D938" s="63"/>
      <c r="E938" s="160"/>
      <c r="F938" s="45"/>
      <c r="G938" s="161"/>
      <c r="H938" s="36"/>
      <c r="I938" s="36"/>
    </row>
    <row r="939" spans="3:9">
      <c r="C939" s="164"/>
      <c r="D939" s="63"/>
      <c r="E939" s="160"/>
      <c r="F939" s="45"/>
      <c r="G939" s="161"/>
      <c r="H939" s="36"/>
      <c r="I939" s="36"/>
    </row>
    <row r="940" spans="3:9">
      <c r="C940" s="164"/>
      <c r="D940" s="63"/>
      <c r="E940" s="160"/>
      <c r="F940" s="45"/>
      <c r="G940" s="161"/>
      <c r="H940" s="36"/>
      <c r="I940" s="36"/>
    </row>
    <row r="941" spans="3:9">
      <c r="C941" s="164"/>
      <c r="D941" s="63"/>
      <c r="E941" s="160"/>
      <c r="F941" s="45"/>
      <c r="G941" s="161"/>
      <c r="H941" s="36"/>
      <c r="I941" s="36"/>
    </row>
    <row r="942" spans="3:9">
      <c r="C942" s="164"/>
      <c r="D942" s="63"/>
      <c r="E942" s="160"/>
      <c r="F942" s="45"/>
      <c r="G942" s="161"/>
      <c r="H942" s="36"/>
      <c r="I942" s="36"/>
    </row>
    <row r="943" spans="3:9">
      <c r="C943" s="164"/>
      <c r="D943" s="63"/>
      <c r="E943" s="160"/>
      <c r="F943" s="45"/>
      <c r="G943" s="161"/>
      <c r="H943" s="36"/>
      <c r="I943" s="36"/>
    </row>
    <row r="944" spans="3:9">
      <c r="C944" s="164"/>
      <c r="D944" s="63"/>
      <c r="E944" s="160"/>
      <c r="F944" s="45"/>
      <c r="G944" s="161"/>
      <c r="H944" s="36"/>
      <c r="I944" s="36"/>
    </row>
    <row r="945" spans="3:9">
      <c r="C945" s="164"/>
      <c r="D945" s="63"/>
      <c r="E945" s="160"/>
      <c r="F945" s="45"/>
      <c r="G945" s="161"/>
      <c r="H945" s="36"/>
      <c r="I945" s="36"/>
    </row>
    <row r="946" spans="3:9">
      <c r="C946" s="164"/>
      <c r="D946" s="63"/>
      <c r="E946" s="160"/>
      <c r="F946" s="45"/>
      <c r="G946" s="161"/>
      <c r="H946" s="36"/>
      <c r="I946" s="36"/>
    </row>
    <row r="947" spans="3:9">
      <c r="C947" s="164"/>
      <c r="D947" s="63"/>
      <c r="E947" s="160"/>
      <c r="F947" s="45"/>
      <c r="G947" s="161"/>
      <c r="H947" s="36"/>
      <c r="I947" s="36"/>
    </row>
    <row r="948" spans="3:9">
      <c r="C948" s="164"/>
      <c r="D948" s="63"/>
      <c r="E948" s="160"/>
      <c r="F948" s="45"/>
      <c r="G948" s="161"/>
      <c r="H948" s="36"/>
      <c r="I948" s="36"/>
    </row>
    <row r="949" spans="3:9">
      <c r="C949" s="164"/>
      <c r="D949" s="63"/>
      <c r="E949" s="160"/>
      <c r="F949" s="45"/>
      <c r="G949" s="161"/>
      <c r="H949" s="36"/>
      <c r="I949" s="36"/>
    </row>
    <row r="950" spans="3:9">
      <c r="C950" s="164"/>
      <c r="D950" s="63"/>
      <c r="E950" s="160"/>
      <c r="F950" s="45"/>
      <c r="G950" s="161"/>
      <c r="H950" s="36"/>
      <c r="I950" s="36"/>
    </row>
    <row r="951" spans="3:9">
      <c r="C951" s="164"/>
      <c r="D951" s="63"/>
      <c r="E951" s="160"/>
      <c r="F951" s="45"/>
      <c r="G951" s="161"/>
      <c r="H951" s="36"/>
      <c r="I951" s="36"/>
    </row>
    <row r="952" spans="3:9">
      <c r="C952" s="164"/>
      <c r="D952" s="63"/>
      <c r="E952" s="160"/>
      <c r="F952" s="45"/>
      <c r="G952" s="161"/>
      <c r="H952" s="36"/>
      <c r="I952" s="36"/>
    </row>
    <row r="953" spans="3:9">
      <c r="C953" s="164"/>
      <c r="D953" s="63"/>
      <c r="E953" s="160"/>
      <c r="F953" s="45"/>
      <c r="G953" s="161"/>
      <c r="H953" s="36"/>
      <c r="I953" s="36"/>
    </row>
    <row r="954" spans="3:9">
      <c r="C954" s="164"/>
      <c r="D954" s="63"/>
      <c r="E954" s="160"/>
      <c r="F954" s="45"/>
      <c r="G954" s="161"/>
      <c r="H954" s="36"/>
      <c r="I954" s="36"/>
    </row>
    <row r="955" spans="3:9">
      <c r="C955" s="164"/>
      <c r="D955" s="63"/>
      <c r="E955" s="160"/>
      <c r="F955" s="45"/>
      <c r="G955" s="161"/>
      <c r="H955" s="36"/>
      <c r="I955" s="36"/>
    </row>
    <row r="956" spans="3:9">
      <c r="C956" s="164"/>
      <c r="D956" s="63"/>
      <c r="E956" s="160"/>
      <c r="F956" s="45"/>
      <c r="G956" s="161"/>
      <c r="H956" s="36"/>
      <c r="I956" s="36"/>
    </row>
    <row r="957" spans="3:9">
      <c r="C957" s="164"/>
      <c r="D957" s="63"/>
      <c r="E957" s="160"/>
      <c r="F957" s="45"/>
      <c r="G957" s="161"/>
      <c r="H957" s="36"/>
      <c r="I957" s="36"/>
    </row>
    <row r="958" spans="3:9">
      <c r="C958" s="164"/>
      <c r="D958" s="63"/>
      <c r="E958" s="160"/>
      <c r="F958" s="45"/>
      <c r="G958" s="161"/>
      <c r="H958" s="36"/>
      <c r="I958" s="36"/>
    </row>
    <row r="959" spans="3:9">
      <c r="C959" s="164"/>
      <c r="D959" s="63"/>
      <c r="E959" s="160"/>
      <c r="F959" s="45"/>
      <c r="G959" s="161"/>
      <c r="H959" s="36"/>
      <c r="I959" s="36"/>
    </row>
    <row r="960" spans="3:9">
      <c r="C960" s="164"/>
      <c r="D960" s="63"/>
      <c r="E960" s="160"/>
      <c r="F960" s="45"/>
      <c r="G960" s="161"/>
      <c r="H960" s="36"/>
      <c r="I960" s="36"/>
    </row>
    <row r="961" spans="3:9">
      <c r="C961" s="164"/>
      <c r="D961" s="63"/>
      <c r="E961" s="160"/>
      <c r="F961" s="45"/>
      <c r="G961" s="161"/>
      <c r="H961" s="36"/>
      <c r="I961" s="36"/>
    </row>
    <row r="962" spans="3:9">
      <c r="C962" s="164"/>
      <c r="D962" s="63"/>
      <c r="E962" s="160"/>
      <c r="F962" s="45"/>
      <c r="G962" s="161"/>
      <c r="H962" s="36"/>
      <c r="I962" s="36"/>
    </row>
    <row r="963" spans="3:9">
      <c r="C963" s="164"/>
      <c r="D963" s="63"/>
      <c r="E963" s="160"/>
      <c r="F963" s="45"/>
      <c r="G963" s="161"/>
      <c r="H963" s="36"/>
      <c r="I963" s="36"/>
    </row>
    <row r="964" spans="3:9">
      <c r="C964" s="164"/>
      <c r="D964" s="63"/>
      <c r="E964" s="160"/>
      <c r="F964" s="45"/>
      <c r="G964" s="161"/>
      <c r="H964" s="36"/>
      <c r="I964" s="36"/>
    </row>
    <row r="965" spans="3:9">
      <c r="C965" s="164"/>
      <c r="D965" s="63"/>
      <c r="E965" s="160"/>
      <c r="F965" s="45"/>
      <c r="G965" s="161"/>
      <c r="H965" s="36"/>
      <c r="I965" s="36"/>
    </row>
    <row r="966" spans="3:9">
      <c r="C966" s="164"/>
      <c r="D966" s="63"/>
      <c r="E966" s="160"/>
      <c r="F966" s="45"/>
      <c r="G966" s="161"/>
      <c r="H966" s="36"/>
      <c r="I966" s="36"/>
    </row>
    <row r="967" spans="3:9">
      <c r="C967" s="164"/>
      <c r="D967" s="63"/>
      <c r="E967" s="160"/>
      <c r="F967" s="45"/>
      <c r="G967" s="161"/>
      <c r="H967" s="36"/>
      <c r="I967" s="36"/>
    </row>
    <row r="968" spans="3:9">
      <c r="C968" s="164"/>
      <c r="D968" s="63"/>
      <c r="E968" s="160"/>
      <c r="F968" s="45"/>
      <c r="G968" s="161"/>
      <c r="H968" s="36"/>
      <c r="I968" s="36"/>
    </row>
    <row r="969" spans="3:9">
      <c r="C969" s="164"/>
      <c r="D969" s="63"/>
      <c r="E969" s="160"/>
      <c r="F969" s="45"/>
      <c r="G969" s="161"/>
      <c r="H969" s="36"/>
      <c r="I969" s="36"/>
    </row>
    <row r="970" spans="3:9">
      <c r="C970" s="164"/>
      <c r="D970" s="63"/>
      <c r="E970" s="160"/>
      <c r="F970" s="45"/>
      <c r="G970" s="161"/>
      <c r="H970" s="36"/>
      <c r="I970" s="36"/>
    </row>
    <row r="971" spans="3:9">
      <c r="C971" s="164"/>
      <c r="D971" s="63"/>
      <c r="E971" s="160"/>
      <c r="F971" s="45"/>
      <c r="G971" s="161"/>
      <c r="H971" s="36"/>
      <c r="I971" s="36"/>
    </row>
    <row r="972" spans="3:9">
      <c r="C972" s="164"/>
      <c r="D972" s="63"/>
      <c r="E972" s="160"/>
      <c r="F972" s="45"/>
      <c r="G972" s="161"/>
      <c r="H972" s="36"/>
      <c r="I972" s="36"/>
    </row>
    <row r="973" spans="3:9">
      <c r="C973" s="164"/>
      <c r="D973" s="63"/>
      <c r="E973" s="160"/>
      <c r="F973" s="45"/>
      <c r="G973" s="161"/>
      <c r="H973" s="36"/>
      <c r="I973" s="36"/>
    </row>
    <row r="974" spans="3:9">
      <c r="C974" s="164"/>
      <c r="D974" s="63"/>
      <c r="E974" s="160"/>
      <c r="F974" s="45"/>
      <c r="G974" s="161"/>
      <c r="H974" s="36"/>
      <c r="I974" s="36"/>
    </row>
    <row r="975" spans="3:9">
      <c r="C975" s="164"/>
      <c r="D975" s="63"/>
      <c r="E975" s="160"/>
      <c r="F975" s="45"/>
      <c r="G975" s="161"/>
      <c r="H975" s="36"/>
      <c r="I975" s="36"/>
    </row>
    <row r="976" spans="3:9">
      <c r="C976" s="164"/>
      <c r="D976" s="63"/>
      <c r="E976" s="160"/>
      <c r="F976" s="45"/>
      <c r="G976" s="161"/>
      <c r="H976" s="36"/>
      <c r="I976" s="36"/>
    </row>
    <row r="977" spans="3:9">
      <c r="C977" s="164"/>
      <c r="D977" s="63"/>
      <c r="E977" s="160"/>
      <c r="F977" s="45"/>
      <c r="G977" s="161"/>
      <c r="H977" s="36"/>
      <c r="I977" s="36"/>
    </row>
    <row r="978" spans="3:9">
      <c r="C978" s="164"/>
      <c r="D978" s="63"/>
      <c r="E978" s="160"/>
      <c r="F978" s="45"/>
      <c r="G978" s="161"/>
      <c r="H978" s="36"/>
      <c r="I978" s="36"/>
    </row>
    <row r="979" spans="3:9">
      <c r="C979" s="164"/>
      <c r="D979" s="63"/>
      <c r="E979" s="160"/>
      <c r="F979" s="45"/>
      <c r="G979" s="161"/>
      <c r="H979" s="36"/>
      <c r="I979" s="36"/>
    </row>
    <row r="980" spans="3:9">
      <c r="C980" s="164"/>
      <c r="D980" s="63"/>
      <c r="E980" s="160"/>
      <c r="F980" s="45"/>
      <c r="G980" s="161"/>
      <c r="H980" s="36"/>
      <c r="I980" s="36"/>
    </row>
    <row r="981" spans="3:9">
      <c r="C981" s="164"/>
      <c r="D981" s="63"/>
      <c r="E981" s="160"/>
      <c r="F981" s="45"/>
      <c r="G981" s="161"/>
      <c r="H981" s="36"/>
      <c r="I981" s="36"/>
    </row>
    <row r="982" spans="3:9">
      <c r="C982" s="164"/>
      <c r="D982" s="63"/>
      <c r="E982" s="160"/>
      <c r="F982" s="45"/>
      <c r="G982" s="161"/>
      <c r="H982" s="36"/>
      <c r="I982" s="36"/>
    </row>
    <row r="983" spans="3:9">
      <c r="C983" s="164"/>
      <c r="D983" s="63"/>
      <c r="E983" s="160"/>
      <c r="F983" s="45"/>
      <c r="G983" s="161"/>
      <c r="H983" s="36"/>
      <c r="I983" s="36"/>
    </row>
    <row r="984" spans="3:9">
      <c r="C984" s="164"/>
      <c r="D984" s="63"/>
      <c r="E984" s="160"/>
      <c r="F984" s="45"/>
      <c r="G984" s="161"/>
      <c r="H984" s="36"/>
      <c r="I984" s="36"/>
    </row>
    <row r="985" spans="3:9">
      <c r="C985" s="164"/>
      <c r="D985" s="63"/>
      <c r="E985" s="160"/>
      <c r="F985" s="45"/>
      <c r="G985" s="161"/>
      <c r="H985" s="36"/>
      <c r="I985" s="36"/>
    </row>
    <row r="986" spans="3:9">
      <c r="C986" s="164"/>
      <c r="D986" s="63"/>
      <c r="E986" s="160"/>
      <c r="F986" s="45"/>
      <c r="G986" s="161"/>
      <c r="H986" s="36"/>
      <c r="I986" s="36"/>
    </row>
    <row r="987" spans="3:9">
      <c r="C987" s="164"/>
      <c r="D987" s="63"/>
      <c r="E987" s="160"/>
      <c r="F987" s="45"/>
      <c r="G987" s="161"/>
      <c r="H987" s="36"/>
      <c r="I987" s="36"/>
    </row>
    <row r="988" spans="3:9">
      <c r="C988" s="164"/>
      <c r="D988" s="63"/>
      <c r="E988" s="160"/>
      <c r="F988" s="45"/>
      <c r="G988" s="161"/>
      <c r="H988" s="36"/>
      <c r="I988" s="36"/>
    </row>
    <row r="989" spans="3:9">
      <c r="C989" s="164"/>
      <c r="D989" s="63"/>
      <c r="E989" s="160"/>
      <c r="F989" s="45"/>
      <c r="G989" s="161"/>
      <c r="H989" s="36"/>
      <c r="I989" s="36"/>
    </row>
    <row r="990" spans="3:9">
      <c r="C990" s="164"/>
      <c r="D990" s="63"/>
      <c r="E990" s="160"/>
      <c r="F990" s="45"/>
      <c r="G990" s="161"/>
      <c r="H990" s="36"/>
      <c r="I990" s="36"/>
    </row>
    <row r="991" spans="3:9">
      <c r="C991" s="164"/>
      <c r="D991" s="63"/>
      <c r="E991" s="160"/>
      <c r="F991" s="45"/>
      <c r="G991" s="161"/>
      <c r="H991" s="36"/>
      <c r="I991" s="36"/>
    </row>
    <row r="992" spans="3:9">
      <c r="C992" s="164"/>
      <c r="D992" s="63"/>
      <c r="E992" s="160"/>
      <c r="F992" s="45"/>
      <c r="G992" s="161"/>
      <c r="H992" s="36"/>
      <c r="I992" s="36"/>
    </row>
    <row r="993" spans="3:9">
      <c r="C993" s="164"/>
      <c r="D993" s="63"/>
      <c r="E993" s="160"/>
      <c r="F993" s="45"/>
      <c r="G993" s="161"/>
      <c r="H993" s="36"/>
      <c r="I993" s="36"/>
    </row>
    <row r="994" spans="3:9">
      <c r="C994" s="164"/>
      <c r="D994" s="63"/>
      <c r="E994" s="160"/>
      <c r="F994" s="45"/>
      <c r="G994" s="161"/>
      <c r="H994" s="36"/>
      <c r="I994" s="36"/>
    </row>
    <row r="995" spans="3:9">
      <c r="C995" s="164"/>
      <c r="D995" s="63"/>
      <c r="E995" s="160"/>
      <c r="F995" s="45"/>
      <c r="G995" s="161"/>
      <c r="H995" s="36"/>
      <c r="I995" s="36"/>
    </row>
    <row r="996" spans="3:9">
      <c r="C996" s="164"/>
      <c r="D996" s="63"/>
      <c r="E996" s="160"/>
      <c r="F996" s="45"/>
      <c r="G996" s="161"/>
      <c r="H996" s="36"/>
      <c r="I996" s="36"/>
    </row>
    <row r="997" spans="3:9">
      <c r="C997" s="164"/>
      <c r="D997" s="63"/>
      <c r="E997" s="160"/>
      <c r="F997" s="45"/>
      <c r="G997" s="161"/>
      <c r="H997" s="36"/>
      <c r="I997" s="36"/>
    </row>
    <row r="998" spans="3:9">
      <c r="C998" s="164"/>
      <c r="D998" s="63"/>
      <c r="E998" s="160"/>
      <c r="F998" s="45"/>
      <c r="G998" s="161"/>
      <c r="H998" s="36"/>
      <c r="I998" s="36"/>
    </row>
    <row r="999" spans="3:9">
      <c r="C999" s="164"/>
      <c r="D999" s="63"/>
      <c r="E999" s="160"/>
      <c r="F999" s="45"/>
      <c r="G999" s="161"/>
      <c r="H999" s="36"/>
      <c r="I999" s="36"/>
    </row>
    <row r="1000" spans="3:9">
      <c r="C1000" s="164"/>
      <c r="D1000" s="63"/>
      <c r="E1000" s="160"/>
      <c r="F1000" s="45"/>
      <c r="G1000" s="161"/>
      <c r="H1000" s="36"/>
      <c r="I1000" s="36"/>
    </row>
    <row r="1001" spans="3:9">
      <c r="C1001" s="164"/>
      <c r="D1001" s="63"/>
      <c r="E1001" s="160"/>
      <c r="F1001" s="45"/>
      <c r="G1001" s="161"/>
      <c r="H1001" s="36"/>
      <c r="I1001" s="36"/>
    </row>
    <row r="1002" spans="3:9">
      <c r="C1002" s="164"/>
      <c r="D1002" s="63"/>
      <c r="E1002" s="160"/>
      <c r="F1002" s="45"/>
      <c r="G1002" s="161"/>
      <c r="H1002" s="36"/>
      <c r="I1002" s="36"/>
    </row>
    <row r="1003" spans="3:9">
      <c r="C1003" s="164"/>
      <c r="D1003" s="63"/>
      <c r="E1003" s="160"/>
      <c r="F1003" s="45"/>
      <c r="G1003" s="161"/>
      <c r="H1003" s="36"/>
      <c r="I1003" s="36"/>
    </row>
    <row r="1004" spans="3:9">
      <c r="C1004" s="164"/>
      <c r="D1004" s="63"/>
      <c r="E1004" s="160"/>
      <c r="F1004" s="45"/>
      <c r="G1004" s="161"/>
      <c r="H1004" s="36"/>
      <c r="I1004" s="36"/>
    </row>
    <row r="1005" spans="3:9">
      <c r="C1005" s="164"/>
      <c r="D1005" s="63"/>
      <c r="E1005" s="160"/>
      <c r="F1005" s="45"/>
      <c r="G1005" s="161"/>
      <c r="H1005" s="36"/>
      <c r="I1005" s="36"/>
    </row>
    <row r="1006" spans="3:9">
      <c r="C1006" s="164"/>
      <c r="D1006" s="63"/>
      <c r="E1006" s="160"/>
      <c r="F1006" s="45"/>
      <c r="G1006" s="161"/>
      <c r="H1006" s="36"/>
      <c r="I1006" s="36"/>
    </row>
    <row r="1007" spans="3:9">
      <c r="C1007" s="164"/>
      <c r="D1007" s="63"/>
      <c r="E1007" s="160"/>
      <c r="F1007" s="45"/>
      <c r="G1007" s="161"/>
      <c r="H1007" s="36"/>
      <c r="I1007" s="36"/>
    </row>
    <row r="1008" spans="3:9">
      <c r="C1008" s="164"/>
      <c r="D1008" s="63"/>
      <c r="E1008" s="160"/>
      <c r="F1008" s="45"/>
      <c r="G1008" s="161"/>
      <c r="H1008" s="36"/>
      <c r="I1008" s="36"/>
    </row>
    <row r="1009" spans="3:9">
      <c r="C1009" s="164"/>
      <c r="D1009" s="63"/>
      <c r="E1009" s="160"/>
      <c r="F1009" s="45"/>
      <c r="G1009" s="161"/>
      <c r="H1009" s="36"/>
      <c r="I1009" s="36"/>
    </row>
    <row r="1010" spans="3:9">
      <c r="C1010" s="164"/>
      <c r="D1010" s="63"/>
      <c r="E1010" s="160"/>
      <c r="F1010" s="45"/>
      <c r="G1010" s="161"/>
      <c r="H1010" s="36"/>
      <c r="I1010" s="36"/>
    </row>
    <row r="1011" spans="3:9">
      <c r="C1011" s="164"/>
      <c r="D1011" s="63"/>
      <c r="E1011" s="160"/>
      <c r="F1011" s="45"/>
      <c r="G1011" s="161"/>
      <c r="H1011" s="36"/>
      <c r="I1011" s="36"/>
    </row>
    <row r="1012" spans="3:9">
      <c r="C1012" s="164"/>
      <c r="D1012" s="63"/>
      <c r="E1012" s="160"/>
      <c r="F1012" s="45"/>
      <c r="G1012" s="161"/>
      <c r="H1012" s="36"/>
      <c r="I1012" s="36"/>
    </row>
    <row r="1013" spans="3:9">
      <c r="C1013" s="164"/>
      <c r="D1013" s="63"/>
      <c r="E1013" s="160"/>
      <c r="F1013" s="45"/>
      <c r="G1013" s="161"/>
      <c r="H1013" s="36"/>
      <c r="I1013" s="36"/>
    </row>
    <row r="1014" spans="3:9">
      <c r="C1014" s="164"/>
      <c r="D1014" s="63"/>
      <c r="E1014" s="160"/>
      <c r="F1014" s="45"/>
      <c r="G1014" s="161"/>
      <c r="H1014" s="36"/>
      <c r="I1014" s="36"/>
    </row>
    <row r="1015" spans="3:9">
      <c r="C1015" s="164"/>
      <c r="D1015" s="63"/>
      <c r="E1015" s="160"/>
      <c r="F1015" s="45"/>
      <c r="G1015" s="161"/>
      <c r="H1015" s="36"/>
      <c r="I1015" s="36"/>
    </row>
    <row r="1016" spans="3:9">
      <c r="C1016" s="164"/>
      <c r="D1016" s="63"/>
      <c r="E1016" s="160"/>
      <c r="F1016" s="45"/>
      <c r="G1016" s="161"/>
      <c r="H1016" s="36"/>
      <c r="I1016" s="36"/>
    </row>
    <row r="1017" spans="3:9">
      <c r="C1017" s="164"/>
      <c r="D1017" s="63"/>
      <c r="E1017" s="160"/>
      <c r="F1017" s="45"/>
      <c r="G1017" s="161"/>
      <c r="H1017" s="36"/>
      <c r="I1017" s="36"/>
    </row>
    <row r="1018" spans="3:9">
      <c r="C1018" s="164"/>
      <c r="D1018" s="63"/>
      <c r="E1018" s="160"/>
      <c r="F1018" s="45"/>
      <c r="G1018" s="161"/>
      <c r="H1018" s="36"/>
      <c r="I1018" s="36"/>
    </row>
    <row r="1019" spans="3:9">
      <c r="C1019" s="164"/>
      <c r="D1019" s="63"/>
      <c r="E1019" s="160"/>
      <c r="F1019" s="45"/>
      <c r="G1019" s="161"/>
      <c r="H1019" s="36"/>
      <c r="I1019" s="36"/>
    </row>
    <row r="1020" spans="3:9">
      <c r="C1020" s="164"/>
      <c r="D1020" s="63"/>
      <c r="E1020" s="160"/>
      <c r="F1020" s="45"/>
      <c r="G1020" s="161"/>
      <c r="H1020" s="36"/>
      <c r="I1020" s="36"/>
    </row>
    <row r="1021" spans="3:9">
      <c r="C1021" s="164"/>
      <c r="D1021" s="63"/>
      <c r="E1021" s="160"/>
      <c r="F1021" s="45"/>
      <c r="G1021" s="161"/>
      <c r="H1021" s="36"/>
      <c r="I1021" s="36"/>
    </row>
    <row r="1022" spans="3:9">
      <c r="C1022" s="164"/>
      <c r="D1022" s="63"/>
      <c r="E1022" s="160"/>
      <c r="F1022" s="45"/>
      <c r="G1022" s="161"/>
      <c r="H1022" s="36"/>
      <c r="I1022" s="36"/>
    </row>
    <row r="1023" spans="3:9">
      <c r="C1023" s="164"/>
      <c r="D1023" s="63"/>
      <c r="E1023" s="160"/>
      <c r="F1023" s="45"/>
      <c r="G1023" s="161"/>
      <c r="H1023" s="36"/>
      <c r="I1023" s="36"/>
    </row>
    <row r="1024" spans="3:9">
      <c r="C1024" s="164"/>
      <c r="D1024" s="63"/>
      <c r="E1024" s="160"/>
      <c r="F1024" s="45"/>
      <c r="G1024" s="161"/>
      <c r="H1024" s="36"/>
      <c r="I1024" s="36"/>
    </row>
    <row r="1025" spans="3:9">
      <c r="C1025" s="164"/>
      <c r="D1025" s="63"/>
      <c r="E1025" s="160"/>
      <c r="F1025" s="45"/>
      <c r="G1025" s="161"/>
      <c r="H1025" s="36"/>
      <c r="I1025" s="36"/>
    </row>
    <row r="1026" spans="3:9">
      <c r="C1026" s="164"/>
      <c r="D1026" s="63"/>
      <c r="E1026" s="160"/>
      <c r="F1026" s="45"/>
      <c r="G1026" s="161"/>
      <c r="H1026" s="36"/>
      <c r="I1026" s="36"/>
    </row>
    <row r="1027" spans="3:9">
      <c r="C1027" s="164"/>
      <c r="D1027" s="63"/>
      <c r="E1027" s="160"/>
      <c r="F1027" s="45"/>
      <c r="G1027" s="161"/>
      <c r="H1027" s="36"/>
      <c r="I1027" s="36"/>
    </row>
    <row r="1028" spans="3:9">
      <c r="C1028" s="164"/>
      <c r="D1028" s="63"/>
      <c r="E1028" s="160"/>
      <c r="F1028" s="45"/>
      <c r="G1028" s="161"/>
      <c r="H1028" s="36"/>
      <c r="I1028" s="36"/>
    </row>
    <row r="1029" spans="3:9">
      <c r="C1029" s="164"/>
      <c r="D1029" s="63"/>
      <c r="E1029" s="160"/>
      <c r="F1029" s="45"/>
      <c r="G1029" s="161"/>
      <c r="H1029" s="36"/>
      <c r="I1029" s="36"/>
    </row>
    <row r="1030" spans="3:9">
      <c r="C1030" s="164"/>
      <c r="D1030" s="63"/>
      <c r="E1030" s="160"/>
      <c r="F1030" s="45"/>
      <c r="G1030" s="161"/>
      <c r="H1030" s="36"/>
      <c r="I1030" s="36"/>
    </row>
    <row r="1031" spans="3:9">
      <c r="C1031" s="164"/>
      <c r="D1031" s="63"/>
      <c r="E1031" s="160"/>
      <c r="F1031" s="45"/>
      <c r="G1031" s="161"/>
      <c r="H1031" s="36"/>
      <c r="I1031" s="36"/>
    </row>
    <row r="1032" spans="3:9">
      <c r="C1032" s="164"/>
      <c r="D1032" s="63"/>
      <c r="E1032" s="160"/>
      <c r="F1032" s="45"/>
      <c r="G1032" s="161"/>
      <c r="H1032" s="36"/>
      <c r="I1032" s="36"/>
    </row>
    <row r="1033" spans="3:9">
      <c r="C1033" s="164"/>
      <c r="D1033" s="63"/>
      <c r="E1033" s="160"/>
      <c r="F1033" s="45"/>
      <c r="G1033" s="161"/>
      <c r="H1033" s="36"/>
      <c r="I1033" s="36"/>
    </row>
    <row r="1034" spans="3:9">
      <c r="C1034" s="164"/>
      <c r="D1034" s="63"/>
      <c r="E1034" s="160"/>
      <c r="F1034" s="45"/>
      <c r="G1034" s="161"/>
      <c r="H1034" s="36"/>
      <c r="I1034" s="36"/>
    </row>
    <row r="1035" spans="3:9">
      <c r="C1035" s="164"/>
      <c r="D1035" s="63"/>
      <c r="E1035" s="160"/>
      <c r="F1035" s="45"/>
      <c r="G1035" s="161"/>
      <c r="H1035" s="36"/>
      <c r="I1035" s="36"/>
    </row>
    <row r="1036" spans="3:9">
      <c r="C1036" s="164"/>
      <c r="D1036" s="63"/>
      <c r="E1036" s="160"/>
      <c r="F1036" s="45"/>
      <c r="G1036" s="161"/>
      <c r="H1036" s="36"/>
      <c r="I1036" s="36"/>
    </row>
    <row r="1037" spans="3:9">
      <c r="C1037" s="164"/>
      <c r="D1037" s="63"/>
      <c r="E1037" s="160"/>
      <c r="F1037" s="45"/>
      <c r="G1037" s="161"/>
      <c r="H1037" s="36"/>
      <c r="I1037" s="36"/>
    </row>
    <row r="1038" spans="3:9">
      <c r="C1038" s="164"/>
      <c r="D1038" s="63"/>
      <c r="E1038" s="160"/>
      <c r="F1038" s="45"/>
      <c r="G1038" s="161"/>
      <c r="H1038" s="36"/>
      <c r="I1038" s="36"/>
    </row>
    <row r="1039" spans="3:9">
      <c r="C1039" s="164"/>
      <c r="D1039" s="63"/>
      <c r="E1039" s="160"/>
      <c r="F1039" s="45"/>
      <c r="G1039" s="161"/>
      <c r="H1039" s="36"/>
      <c r="I1039" s="36"/>
    </row>
    <row r="1040" spans="3:9">
      <c r="C1040" s="164"/>
      <c r="D1040" s="63"/>
      <c r="E1040" s="160"/>
      <c r="F1040" s="45"/>
      <c r="G1040" s="161"/>
      <c r="H1040" s="36"/>
      <c r="I1040" s="36"/>
    </row>
    <row r="1041" spans="3:9">
      <c r="C1041" s="164"/>
      <c r="D1041" s="63"/>
      <c r="E1041" s="160"/>
      <c r="F1041" s="45"/>
      <c r="G1041" s="161"/>
      <c r="H1041" s="36"/>
      <c r="I1041" s="36"/>
    </row>
    <row r="1042" spans="3:9">
      <c r="C1042" s="164"/>
      <c r="D1042" s="63"/>
      <c r="E1042" s="160"/>
      <c r="F1042" s="45"/>
      <c r="G1042" s="161"/>
      <c r="H1042" s="36"/>
      <c r="I1042" s="36"/>
    </row>
    <row r="1043" spans="3:9">
      <c r="C1043" s="164"/>
      <c r="D1043" s="63"/>
      <c r="E1043" s="160"/>
      <c r="F1043" s="45"/>
      <c r="G1043" s="161"/>
      <c r="H1043" s="36"/>
      <c r="I1043" s="36"/>
    </row>
    <row r="1044" spans="3:9">
      <c r="C1044" s="164"/>
      <c r="D1044" s="63"/>
      <c r="E1044" s="160"/>
      <c r="F1044" s="45"/>
      <c r="G1044" s="161"/>
      <c r="H1044" s="36"/>
      <c r="I1044" s="36"/>
    </row>
    <row r="1045" spans="3:9">
      <c r="C1045" s="164"/>
      <c r="D1045" s="63"/>
      <c r="E1045" s="160"/>
      <c r="F1045" s="45"/>
      <c r="G1045" s="161"/>
      <c r="H1045" s="36"/>
      <c r="I1045" s="36"/>
    </row>
    <row r="1046" spans="3:9">
      <c r="C1046" s="164"/>
      <c r="D1046" s="63"/>
      <c r="E1046" s="160"/>
      <c r="F1046" s="45"/>
      <c r="G1046" s="161"/>
      <c r="H1046" s="36"/>
      <c r="I1046" s="36"/>
    </row>
    <row r="1047" spans="3:9">
      <c r="C1047" s="164"/>
      <c r="D1047" s="63"/>
      <c r="E1047" s="160"/>
      <c r="F1047" s="45"/>
      <c r="G1047" s="161"/>
      <c r="H1047" s="36"/>
      <c r="I1047" s="36"/>
    </row>
    <row r="1048" spans="3:9">
      <c r="C1048" s="164"/>
      <c r="D1048" s="63"/>
      <c r="E1048" s="160"/>
      <c r="F1048" s="45"/>
      <c r="G1048" s="161"/>
      <c r="H1048" s="36"/>
      <c r="I1048" s="36"/>
    </row>
    <row r="1049" spans="3:9">
      <c r="C1049" s="164"/>
      <c r="D1049" s="63"/>
      <c r="E1049" s="160"/>
      <c r="F1049" s="45"/>
      <c r="G1049" s="161"/>
      <c r="H1049" s="36"/>
      <c r="I1049" s="36"/>
    </row>
    <row r="1050" spans="3:9">
      <c r="C1050" s="164"/>
      <c r="D1050" s="63"/>
      <c r="E1050" s="160"/>
      <c r="F1050" s="45"/>
      <c r="G1050" s="161"/>
      <c r="H1050" s="36"/>
      <c r="I1050" s="36"/>
    </row>
    <row r="1051" spans="3:9">
      <c r="C1051" s="164"/>
      <c r="D1051" s="63"/>
      <c r="E1051" s="160"/>
      <c r="F1051" s="45"/>
      <c r="G1051" s="161"/>
      <c r="H1051" s="36"/>
      <c r="I1051" s="36"/>
    </row>
    <row r="1052" spans="3:9">
      <c r="C1052" s="164"/>
      <c r="D1052" s="63"/>
      <c r="E1052" s="160"/>
      <c r="F1052" s="45"/>
      <c r="G1052" s="161"/>
      <c r="H1052" s="36"/>
      <c r="I1052" s="36"/>
    </row>
    <row r="1053" spans="3:9">
      <c r="C1053" s="164"/>
      <c r="D1053" s="63"/>
      <c r="E1053" s="160"/>
      <c r="F1053" s="45"/>
      <c r="G1053" s="161"/>
      <c r="H1053" s="36"/>
      <c r="I1053" s="36"/>
    </row>
    <row r="1054" spans="3:9">
      <c r="C1054" s="164"/>
      <c r="D1054" s="63"/>
      <c r="E1054" s="160"/>
      <c r="F1054" s="45"/>
      <c r="G1054" s="161"/>
      <c r="H1054" s="36"/>
      <c r="I1054" s="36"/>
    </row>
    <row r="1055" spans="3:9">
      <c r="C1055" s="164"/>
      <c r="D1055" s="63"/>
      <c r="E1055" s="160"/>
      <c r="F1055" s="45"/>
      <c r="G1055" s="161"/>
      <c r="H1055" s="36"/>
      <c r="I1055" s="36"/>
    </row>
    <row r="1056" spans="3:9">
      <c r="C1056" s="164"/>
      <c r="D1056" s="63"/>
      <c r="E1056" s="160"/>
      <c r="F1056" s="45"/>
      <c r="G1056" s="161"/>
      <c r="H1056" s="36"/>
      <c r="I1056" s="36"/>
    </row>
    <row r="1057" spans="3:9">
      <c r="C1057" s="164"/>
      <c r="D1057" s="63"/>
      <c r="E1057" s="160"/>
      <c r="F1057" s="45"/>
      <c r="G1057" s="161"/>
      <c r="H1057" s="36"/>
      <c r="I1057" s="36"/>
    </row>
    <row r="1058" spans="3:9">
      <c r="C1058" s="164"/>
      <c r="D1058" s="63"/>
      <c r="E1058" s="160"/>
      <c r="F1058" s="45"/>
      <c r="G1058" s="161"/>
      <c r="H1058" s="36"/>
      <c r="I1058" s="36"/>
    </row>
    <row r="1059" spans="3:9">
      <c r="C1059" s="164"/>
      <c r="D1059" s="63"/>
      <c r="E1059" s="160"/>
      <c r="F1059" s="45"/>
      <c r="G1059" s="161"/>
      <c r="H1059" s="36"/>
      <c r="I1059" s="36"/>
    </row>
    <row r="1060" spans="3:9">
      <c r="C1060" s="164"/>
      <c r="D1060" s="63"/>
      <c r="E1060" s="160"/>
      <c r="F1060" s="45"/>
      <c r="G1060" s="161"/>
      <c r="H1060" s="36"/>
      <c r="I1060" s="36"/>
    </row>
    <row r="1061" spans="3:9">
      <c r="C1061" s="164"/>
      <c r="D1061" s="63"/>
      <c r="E1061" s="160"/>
      <c r="F1061" s="45"/>
      <c r="G1061" s="161"/>
      <c r="H1061" s="36"/>
      <c r="I1061" s="36"/>
    </row>
    <row r="1062" spans="3:9">
      <c r="C1062" s="164"/>
      <c r="D1062" s="63"/>
      <c r="E1062" s="160"/>
      <c r="F1062" s="45"/>
      <c r="G1062" s="161"/>
      <c r="H1062" s="36"/>
      <c r="I1062" s="36"/>
    </row>
    <row r="1063" spans="3:9">
      <c r="C1063" s="164"/>
      <c r="D1063" s="63"/>
      <c r="E1063" s="160"/>
      <c r="F1063" s="45"/>
      <c r="G1063" s="161"/>
      <c r="H1063" s="36"/>
      <c r="I1063" s="36"/>
    </row>
    <row r="1064" spans="3:9">
      <c r="C1064" s="164"/>
      <c r="D1064" s="63"/>
      <c r="E1064" s="160"/>
      <c r="F1064" s="45"/>
      <c r="G1064" s="161"/>
      <c r="H1064" s="36"/>
      <c r="I1064" s="36"/>
    </row>
    <row r="1065" spans="3:9">
      <c r="C1065" s="164"/>
      <c r="D1065" s="63"/>
      <c r="E1065" s="160"/>
      <c r="F1065" s="45"/>
      <c r="G1065" s="161"/>
      <c r="H1065" s="36"/>
      <c r="I1065" s="36"/>
    </row>
    <row r="1066" spans="3:9">
      <c r="C1066" s="164"/>
      <c r="D1066" s="63"/>
      <c r="E1066" s="160"/>
      <c r="F1066" s="45"/>
      <c r="G1066" s="161"/>
      <c r="H1066" s="36"/>
      <c r="I1066" s="36"/>
    </row>
    <row r="1067" spans="3:9">
      <c r="C1067" s="164"/>
      <c r="D1067" s="63"/>
      <c r="E1067" s="160"/>
      <c r="F1067" s="45"/>
      <c r="G1067" s="161"/>
      <c r="H1067" s="36"/>
      <c r="I1067" s="36"/>
    </row>
    <row r="1068" spans="3:9">
      <c r="C1068" s="164"/>
      <c r="D1068" s="63"/>
      <c r="E1068" s="160"/>
      <c r="F1068" s="45"/>
      <c r="G1068" s="161"/>
      <c r="H1068" s="36"/>
      <c r="I1068" s="36"/>
    </row>
    <row r="1069" spans="3:9">
      <c r="C1069" s="164"/>
      <c r="D1069" s="63"/>
      <c r="E1069" s="160"/>
      <c r="F1069" s="45"/>
      <c r="G1069" s="161"/>
      <c r="H1069" s="36"/>
      <c r="I1069" s="36"/>
    </row>
    <row r="1070" spans="3:9">
      <c r="C1070" s="164"/>
      <c r="D1070" s="63"/>
      <c r="E1070" s="160"/>
      <c r="F1070" s="45"/>
      <c r="G1070" s="161"/>
      <c r="H1070" s="36"/>
      <c r="I1070" s="36"/>
    </row>
    <row r="1071" spans="3:9">
      <c r="C1071" s="164"/>
      <c r="D1071" s="63"/>
      <c r="E1071" s="160"/>
      <c r="F1071" s="45"/>
      <c r="G1071" s="161"/>
      <c r="H1071" s="36"/>
      <c r="I1071" s="36"/>
    </row>
    <row r="1072" spans="3:9">
      <c r="C1072" s="164"/>
      <c r="D1072" s="63"/>
      <c r="E1072" s="160"/>
      <c r="F1072" s="45"/>
      <c r="G1072" s="161"/>
      <c r="H1072" s="36"/>
      <c r="I1072" s="36"/>
    </row>
    <row r="1073" spans="3:9">
      <c r="C1073" s="164"/>
      <c r="D1073" s="63"/>
      <c r="E1073" s="160"/>
      <c r="F1073" s="45"/>
      <c r="G1073" s="161"/>
      <c r="H1073" s="36"/>
      <c r="I1073" s="36"/>
    </row>
    <row r="1074" spans="3:9">
      <c r="C1074" s="164"/>
      <c r="D1074" s="63"/>
      <c r="E1074" s="160"/>
      <c r="F1074" s="45"/>
      <c r="G1074" s="161"/>
      <c r="H1074" s="36"/>
      <c r="I1074" s="36"/>
    </row>
    <row r="1075" spans="3:9">
      <c r="C1075" s="164"/>
      <c r="D1075" s="63"/>
      <c r="E1075" s="160"/>
      <c r="F1075" s="45"/>
      <c r="G1075" s="161"/>
      <c r="H1075" s="36"/>
      <c r="I1075" s="36"/>
    </row>
    <row r="1076" spans="3:9">
      <c r="C1076" s="164"/>
      <c r="D1076" s="63"/>
      <c r="E1076" s="160"/>
      <c r="F1076" s="45"/>
      <c r="G1076" s="161"/>
      <c r="H1076" s="36"/>
      <c r="I1076" s="36"/>
    </row>
    <row r="1077" spans="3:9">
      <c r="C1077" s="164"/>
      <c r="D1077" s="63"/>
      <c r="E1077" s="160"/>
      <c r="F1077" s="45"/>
      <c r="G1077" s="161"/>
      <c r="H1077" s="36"/>
      <c r="I1077" s="36"/>
    </row>
    <row r="1078" spans="3:9">
      <c r="C1078" s="164"/>
      <c r="D1078" s="63"/>
      <c r="E1078" s="160"/>
      <c r="F1078" s="45"/>
      <c r="G1078" s="161"/>
      <c r="H1078" s="36"/>
      <c r="I1078" s="36"/>
    </row>
    <row r="1079" spans="3:9">
      <c r="C1079" s="164"/>
      <c r="D1079" s="63"/>
      <c r="E1079" s="160"/>
      <c r="F1079" s="45"/>
      <c r="G1079" s="161"/>
      <c r="H1079" s="36"/>
      <c r="I1079" s="36"/>
    </row>
    <row r="1080" spans="3:9">
      <c r="C1080" s="164"/>
      <c r="D1080" s="63"/>
      <c r="E1080" s="160"/>
      <c r="F1080" s="45"/>
      <c r="G1080" s="161"/>
      <c r="H1080" s="36"/>
      <c r="I1080" s="36"/>
    </row>
    <row r="1081" spans="3:9">
      <c r="C1081" s="164"/>
      <c r="D1081" s="63"/>
      <c r="E1081" s="160"/>
      <c r="F1081" s="45"/>
      <c r="G1081" s="161"/>
      <c r="H1081" s="36"/>
      <c r="I1081" s="36"/>
    </row>
    <row r="1082" spans="3:9">
      <c r="C1082" s="164"/>
      <c r="D1082" s="63"/>
      <c r="E1082" s="160"/>
      <c r="F1082" s="45"/>
      <c r="G1082" s="161"/>
      <c r="H1082" s="36"/>
      <c r="I1082" s="36"/>
    </row>
    <row r="1083" spans="3:9">
      <c r="C1083" s="164"/>
      <c r="D1083" s="63"/>
      <c r="E1083" s="160"/>
      <c r="F1083" s="45"/>
      <c r="G1083" s="161"/>
      <c r="H1083" s="36"/>
      <c r="I1083" s="36"/>
    </row>
    <row r="1084" spans="3:9">
      <c r="C1084" s="164"/>
      <c r="D1084" s="63"/>
      <c r="E1084" s="160"/>
      <c r="F1084" s="45"/>
      <c r="G1084" s="161"/>
      <c r="H1084" s="36"/>
      <c r="I1084" s="36"/>
    </row>
    <row r="1085" spans="3:9">
      <c r="C1085" s="164"/>
      <c r="D1085" s="63"/>
      <c r="E1085" s="160"/>
      <c r="F1085" s="45"/>
      <c r="G1085" s="161"/>
      <c r="H1085" s="36"/>
      <c r="I1085" s="36"/>
    </row>
    <row r="1086" spans="3:9">
      <c r="C1086" s="164"/>
      <c r="D1086" s="63"/>
      <c r="E1086" s="160"/>
      <c r="F1086" s="45"/>
      <c r="G1086" s="161"/>
      <c r="H1086" s="36"/>
      <c r="I1086" s="36"/>
    </row>
    <row r="1087" spans="3:9">
      <c r="C1087" s="164"/>
      <c r="D1087" s="63"/>
      <c r="E1087" s="160"/>
      <c r="F1087" s="45"/>
      <c r="G1087" s="161"/>
      <c r="H1087" s="36"/>
      <c r="I1087" s="36"/>
    </row>
    <row r="1088" spans="3:9">
      <c r="C1088" s="164"/>
      <c r="D1088" s="63"/>
      <c r="E1088" s="160"/>
      <c r="F1088" s="45"/>
      <c r="G1088" s="161"/>
      <c r="H1088" s="36"/>
      <c r="I1088" s="36"/>
    </row>
    <row r="1089" spans="3:9">
      <c r="C1089" s="164"/>
      <c r="D1089" s="63"/>
      <c r="E1089" s="160"/>
      <c r="F1089" s="45"/>
      <c r="G1089" s="161"/>
      <c r="H1089" s="36"/>
      <c r="I1089" s="36"/>
    </row>
    <row r="1090" spans="3:9">
      <c r="C1090" s="164"/>
      <c r="D1090" s="63"/>
      <c r="E1090" s="160"/>
      <c r="F1090" s="45"/>
      <c r="G1090" s="161"/>
      <c r="H1090" s="36"/>
      <c r="I1090" s="36"/>
    </row>
    <row r="1091" spans="3:9">
      <c r="C1091" s="164"/>
      <c r="D1091" s="63"/>
      <c r="E1091" s="160"/>
      <c r="F1091" s="45"/>
      <c r="G1091" s="161"/>
      <c r="H1091" s="36"/>
      <c r="I1091" s="36"/>
    </row>
    <row r="1092" spans="3:9">
      <c r="C1092" s="164"/>
      <c r="D1092" s="63"/>
      <c r="E1092" s="160"/>
      <c r="F1092" s="45"/>
      <c r="G1092" s="161"/>
      <c r="H1092" s="36"/>
      <c r="I1092" s="36"/>
    </row>
    <row r="1093" spans="3:9">
      <c r="C1093" s="164"/>
      <c r="D1093" s="63"/>
      <c r="E1093" s="160"/>
      <c r="F1093" s="45"/>
      <c r="G1093" s="161"/>
      <c r="H1093" s="36"/>
      <c r="I1093" s="36"/>
    </row>
    <row r="1094" spans="3:9">
      <c r="C1094" s="164"/>
      <c r="D1094" s="63"/>
      <c r="E1094" s="160"/>
      <c r="F1094" s="45"/>
      <c r="G1094" s="161"/>
      <c r="H1094" s="36"/>
      <c r="I1094" s="36"/>
    </row>
    <row r="1095" spans="3:9">
      <c r="C1095" s="164"/>
      <c r="D1095" s="63"/>
      <c r="E1095" s="160"/>
      <c r="F1095" s="45"/>
      <c r="G1095" s="161"/>
      <c r="H1095" s="36"/>
      <c r="I1095" s="36"/>
    </row>
    <row r="1096" spans="3:9">
      <c r="C1096" s="164"/>
      <c r="D1096" s="63"/>
      <c r="E1096" s="160"/>
      <c r="F1096" s="45"/>
      <c r="G1096" s="161"/>
      <c r="H1096" s="36"/>
      <c r="I1096" s="36"/>
    </row>
    <row r="1097" spans="3:9">
      <c r="C1097" s="164"/>
      <c r="D1097" s="63"/>
      <c r="E1097" s="160"/>
      <c r="F1097" s="45"/>
      <c r="G1097" s="161"/>
      <c r="H1097" s="36"/>
      <c r="I1097" s="36"/>
    </row>
    <row r="1098" spans="3:9">
      <c r="C1098" s="164"/>
      <c r="D1098" s="63"/>
      <c r="E1098" s="160"/>
      <c r="F1098" s="45"/>
      <c r="G1098" s="161"/>
      <c r="H1098" s="36"/>
      <c r="I1098" s="36"/>
    </row>
    <row r="1099" spans="3:9">
      <c r="C1099" s="164"/>
      <c r="D1099" s="63"/>
      <c r="E1099" s="160"/>
      <c r="F1099" s="45"/>
      <c r="G1099" s="161"/>
      <c r="H1099" s="36"/>
      <c r="I1099" s="36"/>
    </row>
    <row r="1100" spans="3:9">
      <c r="C1100" s="164"/>
      <c r="D1100" s="63"/>
      <c r="E1100" s="160"/>
      <c r="F1100" s="45"/>
      <c r="G1100" s="161"/>
      <c r="H1100" s="36"/>
      <c r="I1100" s="36"/>
    </row>
    <row r="1101" spans="3:9">
      <c r="C1101" s="164"/>
      <c r="D1101" s="63"/>
      <c r="E1101" s="160"/>
      <c r="F1101" s="45"/>
      <c r="G1101" s="161"/>
      <c r="H1101" s="36"/>
      <c r="I1101" s="36"/>
    </row>
    <row r="1102" spans="3:9">
      <c r="C1102" s="164"/>
      <c r="D1102" s="63"/>
      <c r="E1102" s="160"/>
      <c r="F1102" s="45"/>
      <c r="G1102" s="161"/>
      <c r="H1102" s="36"/>
      <c r="I1102" s="36"/>
    </row>
    <row r="1103" spans="3:9">
      <c r="C1103" s="164"/>
      <c r="D1103" s="63"/>
      <c r="E1103" s="160"/>
      <c r="F1103" s="45"/>
      <c r="G1103" s="161"/>
      <c r="H1103" s="36"/>
      <c r="I1103" s="36"/>
    </row>
    <row r="1104" spans="3:9">
      <c r="C1104" s="164"/>
      <c r="D1104" s="63"/>
      <c r="E1104" s="160"/>
      <c r="F1104" s="45"/>
      <c r="G1104" s="161"/>
      <c r="H1104" s="36"/>
      <c r="I1104" s="36"/>
    </row>
    <row r="1105" spans="3:9">
      <c r="C1105" s="164"/>
      <c r="D1105" s="63"/>
      <c r="E1105" s="160"/>
      <c r="F1105" s="45"/>
      <c r="G1105" s="161"/>
      <c r="H1105" s="36"/>
      <c r="I1105" s="36"/>
    </row>
    <row r="1106" spans="3:9">
      <c r="C1106" s="164"/>
      <c r="D1106" s="63"/>
      <c r="E1106" s="160"/>
      <c r="F1106" s="45"/>
      <c r="G1106" s="161"/>
      <c r="H1106" s="36"/>
      <c r="I1106" s="36"/>
    </row>
    <row r="1107" spans="3:9">
      <c r="C1107" s="164"/>
      <c r="D1107" s="63"/>
      <c r="E1107" s="160"/>
      <c r="F1107" s="45"/>
      <c r="G1107" s="161"/>
      <c r="H1107" s="36"/>
      <c r="I1107" s="36"/>
    </row>
    <row r="1108" spans="3:9">
      <c r="C1108" s="164"/>
      <c r="D1108" s="63"/>
      <c r="E1108" s="160"/>
      <c r="F1108" s="45"/>
      <c r="G1108" s="161"/>
      <c r="H1108" s="36"/>
      <c r="I1108" s="36"/>
    </row>
    <row r="1109" spans="3:9">
      <c r="C1109" s="164"/>
      <c r="D1109" s="63"/>
      <c r="E1109" s="160"/>
      <c r="F1109" s="45"/>
      <c r="G1109" s="161"/>
      <c r="H1109" s="36"/>
      <c r="I1109" s="36"/>
    </row>
    <row r="1110" spans="3:9">
      <c r="C1110" s="164"/>
      <c r="D1110" s="63"/>
      <c r="E1110" s="160"/>
      <c r="F1110" s="45"/>
      <c r="G1110" s="161"/>
      <c r="H1110" s="36"/>
      <c r="I1110" s="36"/>
    </row>
    <row r="1111" spans="3:9">
      <c r="C1111" s="164"/>
      <c r="D1111" s="63"/>
      <c r="E1111" s="160"/>
      <c r="F1111" s="45"/>
      <c r="G1111" s="161"/>
      <c r="H1111" s="36"/>
      <c r="I1111" s="36"/>
    </row>
    <row r="1112" spans="3:9">
      <c r="C1112" s="164"/>
      <c r="D1112" s="63"/>
      <c r="E1112" s="160"/>
      <c r="F1112" s="45"/>
      <c r="G1112" s="161"/>
      <c r="H1112" s="36"/>
      <c r="I1112" s="36"/>
    </row>
    <row r="1113" spans="3:9">
      <c r="C1113" s="164"/>
      <c r="D1113" s="63"/>
      <c r="E1113" s="160"/>
      <c r="F1113" s="45"/>
      <c r="G1113" s="161"/>
      <c r="H1113" s="36"/>
      <c r="I1113" s="36"/>
    </row>
    <row r="1114" spans="3:9">
      <c r="C1114" s="164"/>
      <c r="D1114" s="63"/>
      <c r="E1114" s="160"/>
      <c r="F1114" s="45"/>
      <c r="G1114" s="161"/>
      <c r="H1114" s="36"/>
      <c r="I1114" s="36"/>
    </row>
    <row r="1115" spans="3:9">
      <c r="C1115" s="164"/>
      <c r="D1115" s="63"/>
      <c r="E1115" s="160"/>
      <c r="F1115" s="45"/>
      <c r="G1115" s="161"/>
      <c r="H1115" s="36"/>
      <c r="I1115" s="36"/>
    </row>
    <row r="1116" spans="3:9">
      <c r="C1116" s="164"/>
      <c r="D1116" s="63"/>
      <c r="E1116" s="160"/>
      <c r="F1116" s="45"/>
      <c r="G1116" s="161"/>
      <c r="H1116" s="36"/>
      <c r="I1116" s="36"/>
    </row>
    <row r="1117" spans="3:9">
      <c r="C1117" s="164"/>
      <c r="D1117" s="63"/>
      <c r="E1117" s="160"/>
      <c r="F1117" s="45"/>
      <c r="G1117" s="161"/>
      <c r="H1117" s="36"/>
      <c r="I1117" s="36"/>
    </row>
    <row r="1118" spans="3:9">
      <c r="C1118" s="164"/>
      <c r="D1118" s="63"/>
      <c r="E1118" s="160"/>
      <c r="F1118" s="45"/>
      <c r="G1118" s="161"/>
      <c r="H1118" s="36"/>
      <c r="I1118" s="36"/>
    </row>
    <row r="1119" spans="3:9">
      <c r="C1119" s="164"/>
      <c r="D1119" s="63"/>
      <c r="E1119" s="160"/>
      <c r="F1119" s="45"/>
      <c r="G1119" s="161"/>
      <c r="H1119" s="36"/>
      <c r="I1119" s="36"/>
    </row>
    <row r="1120" spans="3:9">
      <c r="C1120" s="164"/>
      <c r="D1120" s="63"/>
      <c r="E1120" s="160"/>
      <c r="F1120" s="45"/>
      <c r="G1120" s="161"/>
      <c r="H1120" s="36"/>
      <c r="I1120" s="36"/>
    </row>
    <row r="1121" spans="3:9">
      <c r="C1121" s="164"/>
      <c r="D1121" s="63"/>
      <c r="E1121" s="160"/>
      <c r="F1121" s="45"/>
      <c r="G1121" s="161"/>
      <c r="H1121" s="36"/>
      <c r="I1121" s="36"/>
    </row>
    <row r="1122" spans="3:9">
      <c r="C1122" s="164"/>
      <c r="D1122" s="63"/>
      <c r="E1122" s="160"/>
      <c r="F1122" s="45"/>
      <c r="G1122" s="161"/>
      <c r="H1122" s="36"/>
      <c r="I1122" s="36"/>
    </row>
    <row r="1123" spans="3:9">
      <c r="C1123" s="164"/>
      <c r="D1123" s="63"/>
      <c r="E1123" s="160"/>
      <c r="F1123" s="45"/>
      <c r="G1123" s="161"/>
      <c r="H1123" s="36"/>
      <c r="I1123" s="36"/>
    </row>
    <row r="1124" spans="3:9">
      <c r="C1124" s="164"/>
      <c r="D1124" s="63"/>
      <c r="E1124" s="160"/>
      <c r="F1124" s="45"/>
      <c r="G1124" s="161"/>
      <c r="H1124" s="36"/>
      <c r="I1124" s="36"/>
    </row>
    <row r="1125" spans="3:9">
      <c r="C1125" s="164"/>
      <c r="D1125" s="63"/>
      <c r="E1125" s="160"/>
      <c r="F1125" s="45"/>
      <c r="G1125" s="161"/>
      <c r="H1125" s="36"/>
      <c r="I1125" s="36"/>
    </row>
    <row r="1126" spans="3:9">
      <c r="C1126" s="164"/>
      <c r="D1126" s="63"/>
      <c r="E1126" s="160"/>
      <c r="F1126" s="45"/>
      <c r="G1126" s="161"/>
      <c r="H1126" s="36"/>
      <c r="I1126" s="36"/>
    </row>
    <row r="1127" spans="3:9">
      <c r="C1127" s="164"/>
      <c r="D1127" s="63"/>
      <c r="E1127" s="160"/>
      <c r="F1127" s="45"/>
      <c r="G1127" s="161"/>
      <c r="H1127" s="36"/>
      <c r="I1127" s="36"/>
    </row>
    <row r="1128" spans="3:9">
      <c r="C1128" s="164"/>
      <c r="D1128" s="63"/>
      <c r="E1128" s="160"/>
      <c r="F1128" s="45"/>
      <c r="G1128" s="161"/>
      <c r="H1128" s="36"/>
      <c r="I1128" s="36"/>
    </row>
    <row r="1129" spans="3:9">
      <c r="C1129" s="164"/>
      <c r="D1129" s="63"/>
      <c r="E1129" s="160"/>
      <c r="F1129" s="45"/>
      <c r="G1129" s="161"/>
      <c r="H1129" s="36"/>
      <c r="I1129" s="36"/>
    </row>
    <row r="1130" spans="3:9">
      <c r="C1130" s="164"/>
      <c r="D1130" s="63"/>
      <c r="E1130" s="160"/>
      <c r="F1130" s="45"/>
      <c r="G1130" s="161"/>
      <c r="H1130" s="36"/>
      <c r="I1130" s="36"/>
    </row>
    <row r="1131" spans="3:9">
      <c r="C1131" s="164"/>
      <c r="D1131" s="63"/>
      <c r="E1131" s="160"/>
      <c r="F1131" s="45"/>
      <c r="G1131" s="161"/>
      <c r="H1131" s="36"/>
      <c r="I1131" s="36"/>
    </row>
    <row r="1132" spans="3:9">
      <c r="C1132" s="164"/>
      <c r="D1132" s="63"/>
      <c r="E1132" s="160"/>
      <c r="F1132" s="45"/>
      <c r="G1132" s="161"/>
      <c r="H1132" s="36"/>
      <c r="I1132" s="36"/>
    </row>
    <row r="1133" spans="3:9">
      <c r="C1133" s="164"/>
      <c r="D1133" s="63"/>
      <c r="E1133" s="160"/>
      <c r="F1133" s="45"/>
      <c r="G1133" s="161"/>
      <c r="H1133" s="36"/>
      <c r="I1133" s="36"/>
    </row>
    <row r="1134" spans="3:9">
      <c r="C1134" s="164"/>
      <c r="D1134" s="63"/>
      <c r="E1134" s="160"/>
      <c r="F1134" s="45"/>
      <c r="G1134" s="161"/>
      <c r="H1134" s="36"/>
      <c r="I1134" s="36"/>
    </row>
    <row r="1135" spans="3:9">
      <c r="C1135" s="164"/>
      <c r="D1135" s="63"/>
      <c r="E1135" s="160"/>
      <c r="F1135" s="45"/>
      <c r="G1135" s="161"/>
      <c r="H1135" s="36"/>
      <c r="I1135" s="36"/>
    </row>
    <row r="1136" spans="3:9">
      <c r="C1136" s="164"/>
      <c r="D1136" s="63"/>
      <c r="E1136" s="160"/>
      <c r="F1136" s="45"/>
      <c r="G1136" s="161"/>
      <c r="H1136" s="36"/>
      <c r="I1136" s="36"/>
    </row>
    <row r="1137" spans="3:9">
      <c r="C1137" s="164"/>
      <c r="D1137" s="63"/>
      <c r="E1137" s="160"/>
      <c r="F1137" s="45"/>
      <c r="G1137" s="161"/>
      <c r="H1137" s="36"/>
      <c r="I1137" s="36"/>
    </row>
    <row r="1138" spans="3:9">
      <c r="C1138" s="164"/>
      <c r="D1138" s="63"/>
      <c r="E1138" s="160"/>
      <c r="F1138" s="45"/>
      <c r="G1138" s="161"/>
      <c r="H1138" s="36"/>
      <c r="I1138" s="36"/>
    </row>
    <row r="1139" spans="3:9">
      <c r="C1139" s="164"/>
      <c r="D1139" s="63"/>
      <c r="E1139" s="160"/>
      <c r="F1139" s="45"/>
      <c r="G1139" s="161"/>
      <c r="H1139" s="36"/>
      <c r="I1139" s="36"/>
    </row>
    <row r="1140" spans="3:9">
      <c r="C1140" s="164"/>
      <c r="D1140" s="63"/>
      <c r="E1140" s="160"/>
      <c r="F1140" s="45"/>
      <c r="G1140" s="161"/>
      <c r="H1140" s="36"/>
      <c r="I1140" s="36"/>
    </row>
    <row r="1141" spans="3:9">
      <c r="C1141" s="164"/>
      <c r="D1141" s="63"/>
      <c r="E1141" s="160"/>
      <c r="F1141" s="45"/>
      <c r="G1141" s="161"/>
      <c r="H1141" s="36"/>
      <c r="I1141" s="36"/>
    </row>
    <row r="1142" spans="3:9">
      <c r="C1142" s="164"/>
      <c r="D1142" s="63"/>
      <c r="E1142" s="160"/>
      <c r="F1142" s="45"/>
      <c r="G1142" s="161"/>
      <c r="H1142" s="36"/>
      <c r="I1142" s="36"/>
    </row>
    <row r="1143" spans="3:9">
      <c r="C1143" s="164"/>
      <c r="D1143" s="63"/>
      <c r="E1143" s="160"/>
      <c r="F1143" s="45"/>
      <c r="G1143" s="161"/>
      <c r="H1143" s="36"/>
      <c r="I1143" s="36"/>
    </row>
    <row r="1144" spans="3:9">
      <c r="C1144" s="164"/>
      <c r="D1144" s="63"/>
      <c r="E1144" s="160"/>
      <c r="F1144" s="45"/>
      <c r="G1144" s="161"/>
      <c r="H1144" s="36"/>
      <c r="I1144" s="36"/>
    </row>
    <row r="1145" spans="3:9">
      <c r="C1145" s="164"/>
      <c r="D1145" s="63"/>
      <c r="E1145" s="160"/>
      <c r="F1145" s="45"/>
      <c r="G1145" s="161"/>
      <c r="H1145" s="36"/>
      <c r="I1145" s="36"/>
    </row>
    <row r="1146" spans="3:9">
      <c r="C1146" s="164"/>
      <c r="D1146" s="63"/>
      <c r="E1146" s="160"/>
      <c r="F1146" s="45"/>
      <c r="G1146" s="161"/>
      <c r="H1146" s="36"/>
      <c r="I1146" s="36"/>
    </row>
    <row r="1147" spans="3:9">
      <c r="C1147" s="164"/>
      <c r="D1147" s="63"/>
      <c r="E1147" s="160"/>
      <c r="F1147" s="45"/>
      <c r="G1147" s="161"/>
      <c r="H1147" s="36"/>
      <c r="I1147" s="36"/>
    </row>
    <row r="1148" spans="3:9">
      <c r="C1148" s="164"/>
      <c r="D1148" s="63"/>
      <c r="E1148" s="160"/>
      <c r="F1148" s="45"/>
      <c r="G1148" s="161"/>
      <c r="H1148" s="36"/>
      <c r="I1148" s="36"/>
    </row>
    <row r="1149" spans="3:9">
      <c r="C1149" s="164"/>
      <c r="D1149" s="63"/>
      <c r="E1149" s="160"/>
      <c r="F1149" s="45"/>
      <c r="G1149" s="161"/>
      <c r="H1149" s="36"/>
      <c r="I1149" s="36"/>
    </row>
    <row r="1150" spans="3:9">
      <c r="C1150" s="164"/>
      <c r="D1150" s="63"/>
      <c r="E1150" s="160"/>
      <c r="F1150" s="45"/>
      <c r="G1150" s="161"/>
      <c r="H1150" s="36"/>
      <c r="I1150" s="36"/>
    </row>
    <row r="1151" spans="3:9">
      <c r="C1151" s="164"/>
      <c r="D1151" s="63"/>
      <c r="E1151" s="160"/>
      <c r="F1151" s="45"/>
      <c r="G1151" s="161"/>
      <c r="H1151" s="36"/>
      <c r="I1151" s="36"/>
    </row>
    <row r="1152" spans="3:9">
      <c r="C1152" s="164"/>
      <c r="D1152" s="63"/>
      <c r="E1152" s="160"/>
      <c r="F1152" s="45"/>
      <c r="G1152" s="161"/>
      <c r="H1152" s="36"/>
      <c r="I1152" s="36"/>
    </row>
    <row r="1153" spans="3:9">
      <c r="C1153" s="164"/>
      <c r="D1153" s="63"/>
      <c r="E1153" s="160"/>
      <c r="F1153" s="45"/>
      <c r="G1153" s="161"/>
      <c r="H1153" s="36"/>
      <c r="I1153" s="36"/>
    </row>
    <row r="1154" spans="3:9">
      <c r="C1154" s="164"/>
      <c r="D1154" s="63"/>
      <c r="E1154" s="160"/>
      <c r="F1154" s="45"/>
      <c r="G1154" s="161"/>
      <c r="H1154" s="36"/>
      <c r="I1154" s="36"/>
    </row>
    <row r="1155" spans="3:9">
      <c r="C1155" s="164"/>
      <c r="D1155" s="63"/>
      <c r="E1155" s="160"/>
      <c r="F1155" s="45"/>
      <c r="G1155" s="161"/>
      <c r="H1155" s="36"/>
      <c r="I1155" s="36"/>
    </row>
    <row r="1156" spans="3:9">
      <c r="C1156" s="164"/>
      <c r="D1156" s="63"/>
      <c r="E1156" s="160"/>
      <c r="F1156" s="45"/>
      <c r="G1156" s="161"/>
      <c r="H1156" s="36"/>
      <c r="I1156" s="36"/>
    </row>
    <row r="1157" spans="3:9">
      <c r="C1157" s="164"/>
      <c r="D1157" s="63"/>
      <c r="E1157" s="160"/>
      <c r="F1157" s="45"/>
      <c r="G1157" s="161"/>
      <c r="H1157" s="36"/>
      <c r="I1157" s="36"/>
    </row>
    <row r="1158" spans="3:9">
      <c r="C1158" s="164"/>
      <c r="D1158" s="63"/>
      <c r="E1158" s="160"/>
      <c r="F1158" s="45"/>
      <c r="G1158" s="161"/>
      <c r="H1158" s="36"/>
      <c r="I1158" s="36"/>
    </row>
    <row r="1159" spans="3:9">
      <c r="C1159" s="164"/>
      <c r="D1159" s="63"/>
      <c r="E1159" s="160"/>
      <c r="F1159" s="45"/>
      <c r="G1159" s="161"/>
      <c r="H1159" s="36"/>
      <c r="I1159" s="36"/>
    </row>
    <row r="1160" spans="3:9">
      <c r="C1160" s="164"/>
      <c r="D1160" s="63"/>
      <c r="E1160" s="160"/>
      <c r="F1160" s="45"/>
      <c r="G1160" s="161"/>
      <c r="H1160" s="36"/>
      <c r="I1160" s="36"/>
    </row>
    <row r="1161" spans="3:9">
      <c r="C1161" s="164"/>
      <c r="D1161" s="63"/>
      <c r="E1161" s="160"/>
      <c r="F1161" s="45"/>
      <c r="G1161" s="161"/>
      <c r="H1161" s="36"/>
      <c r="I1161" s="36"/>
    </row>
    <row r="1162" spans="3:9">
      <c r="C1162" s="164"/>
      <c r="D1162" s="63"/>
      <c r="E1162" s="160"/>
      <c r="F1162" s="45"/>
      <c r="G1162" s="161"/>
      <c r="H1162" s="36"/>
      <c r="I1162" s="36"/>
    </row>
    <row r="1163" spans="3:9">
      <c r="C1163" s="164"/>
      <c r="D1163" s="63"/>
      <c r="E1163" s="160"/>
      <c r="F1163" s="45"/>
      <c r="G1163" s="161"/>
      <c r="H1163" s="36"/>
      <c r="I1163" s="36"/>
    </row>
    <row r="1164" spans="3:9">
      <c r="C1164" s="164"/>
      <c r="D1164" s="63"/>
      <c r="E1164" s="160"/>
      <c r="F1164" s="45"/>
      <c r="G1164" s="161"/>
      <c r="H1164" s="36"/>
      <c r="I1164" s="36"/>
    </row>
    <row r="1165" spans="3:9">
      <c r="C1165" s="164"/>
      <c r="D1165" s="63"/>
      <c r="E1165" s="160"/>
      <c r="F1165" s="45"/>
      <c r="G1165" s="161"/>
      <c r="H1165" s="36"/>
      <c r="I1165" s="36"/>
    </row>
    <row r="1166" spans="3:9">
      <c r="C1166" s="164"/>
      <c r="D1166" s="63"/>
      <c r="E1166" s="160"/>
      <c r="F1166" s="45"/>
      <c r="G1166" s="161"/>
      <c r="H1166" s="36"/>
      <c r="I1166" s="36"/>
    </row>
    <row r="1167" spans="3:9">
      <c r="C1167" s="164"/>
      <c r="D1167" s="63"/>
      <c r="E1167" s="160"/>
      <c r="F1167" s="45"/>
      <c r="G1167" s="161"/>
      <c r="H1167" s="36"/>
      <c r="I1167" s="36"/>
    </row>
    <row r="1168" spans="3:9">
      <c r="C1168" s="164"/>
      <c r="D1168" s="63"/>
      <c r="E1168" s="160"/>
      <c r="F1168" s="45"/>
      <c r="G1168" s="161"/>
      <c r="H1168" s="36"/>
      <c r="I1168" s="36"/>
    </row>
    <row r="1169" spans="3:9">
      <c r="C1169" s="164"/>
      <c r="D1169" s="63"/>
      <c r="E1169" s="160"/>
      <c r="F1169" s="45"/>
      <c r="G1169" s="161"/>
      <c r="H1169" s="36"/>
      <c r="I1169" s="36"/>
    </row>
    <row r="1170" spans="3:9">
      <c r="C1170" s="164"/>
      <c r="D1170" s="63"/>
      <c r="E1170" s="160"/>
      <c r="F1170" s="45"/>
      <c r="G1170" s="161"/>
      <c r="H1170" s="36"/>
      <c r="I1170" s="36"/>
    </row>
    <row r="1171" spans="3:9">
      <c r="C1171" s="164"/>
      <c r="D1171" s="63"/>
      <c r="E1171" s="160"/>
      <c r="F1171" s="45"/>
      <c r="G1171" s="161"/>
      <c r="H1171" s="36"/>
      <c r="I1171" s="36"/>
    </row>
    <row r="1172" spans="3:9">
      <c r="C1172" s="164"/>
      <c r="D1172" s="63"/>
      <c r="E1172" s="160"/>
      <c r="F1172" s="45"/>
      <c r="G1172" s="161"/>
      <c r="H1172" s="36"/>
      <c r="I1172" s="36"/>
    </row>
    <row r="1173" spans="3:9">
      <c r="C1173" s="164"/>
      <c r="D1173" s="63"/>
      <c r="E1173" s="160"/>
      <c r="F1173" s="45"/>
      <c r="G1173" s="161"/>
      <c r="H1173" s="36"/>
      <c r="I1173" s="36"/>
    </row>
    <row r="1174" spans="3:9">
      <c r="C1174" s="164"/>
      <c r="D1174" s="63"/>
      <c r="E1174" s="160"/>
      <c r="F1174" s="45"/>
      <c r="G1174" s="161"/>
      <c r="H1174" s="36"/>
      <c r="I1174" s="36"/>
    </row>
    <row r="1175" spans="3:9">
      <c r="C1175" s="164"/>
      <c r="D1175" s="63"/>
      <c r="E1175" s="160"/>
      <c r="F1175" s="45"/>
      <c r="G1175" s="161"/>
      <c r="H1175" s="36"/>
      <c r="I1175" s="36"/>
    </row>
    <row r="1176" spans="3:9">
      <c r="C1176" s="164"/>
      <c r="D1176" s="63"/>
      <c r="E1176" s="160"/>
      <c r="F1176" s="45"/>
      <c r="G1176" s="161"/>
      <c r="H1176" s="36"/>
      <c r="I1176" s="36"/>
    </row>
    <row r="1177" spans="3:9">
      <c r="C1177" s="164"/>
      <c r="D1177" s="63"/>
      <c r="E1177" s="160"/>
      <c r="F1177" s="45"/>
      <c r="G1177" s="161"/>
      <c r="H1177" s="36"/>
      <c r="I1177" s="36"/>
    </row>
    <row r="1178" spans="3:9">
      <c r="C1178" s="164"/>
      <c r="D1178" s="63"/>
      <c r="E1178" s="160"/>
      <c r="F1178" s="45"/>
      <c r="G1178" s="161"/>
      <c r="H1178" s="36"/>
      <c r="I1178" s="36"/>
    </row>
    <row r="1179" spans="3:9">
      <c r="C1179" s="164"/>
      <c r="D1179" s="63"/>
      <c r="E1179" s="160"/>
      <c r="F1179" s="45"/>
      <c r="G1179" s="161"/>
      <c r="H1179" s="36"/>
      <c r="I1179" s="36"/>
    </row>
    <row r="1180" spans="3:9">
      <c r="C1180" s="164"/>
      <c r="D1180" s="63"/>
      <c r="E1180" s="160"/>
      <c r="F1180" s="45"/>
      <c r="G1180" s="161"/>
      <c r="H1180" s="36"/>
      <c r="I1180" s="36"/>
    </row>
    <row r="1181" spans="3:9">
      <c r="C1181" s="164"/>
      <c r="D1181" s="63"/>
      <c r="E1181" s="160"/>
      <c r="F1181" s="45"/>
      <c r="G1181" s="161"/>
      <c r="H1181" s="36"/>
      <c r="I1181" s="36"/>
    </row>
    <row r="1182" spans="3:9">
      <c r="C1182" s="164"/>
      <c r="D1182" s="63"/>
      <c r="E1182" s="160"/>
      <c r="F1182" s="45"/>
      <c r="G1182" s="161"/>
      <c r="H1182" s="36"/>
      <c r="I1182" s="36"/>
    </row>
  </sheetData>
  <customSheetViews>
    <customSheetView guid="{EF5CB27C-5FE0-45F3-94B2-4859305A3BC1}" showPageBreaks="1" showGridLines="0" topLeftCell="A131">
      <selection activeCell="C147" sqref="C147"/>
      <rowBreaks count="6" manualBreakCount="6">
        <brk id="43" max="16383" man="1"/>
        <brk id="86" max="16383" man="1"/>
        <brk id="134" max="16383" man="1"/>
        <brk id="190" max="16383" man="1"/>
        <brk id="237" max="5" man="1"/>
        <brk id="254" max="16383" man="1"/>
      </rowBreaks>
      <pageMargins left="0.7" right="0.7" top="0.75" bottom="0.75" header="0.3" footer="0.3"/>
      <printOptions headings="1"/>
      <pageSetup scale="45" orientation="landscape"/>
      <headerFooter alignWithMargins="0">
        <oddHeader xml:space="preserve">&amp;CHEISC Information Security Benchmark Assessment Tool for Higher Education
October 2012
</oddHeader>
      </headerFooter>
    </customSheetView>
  </customSheetViews>
  <mergeCells count="12">
    <mergeCell ref="E122:G122"/>
    <mergeCell ref="E15:G15"/>
    <mergeCell ref="E19:G19"/>
    <mergeCell ref="E23:G23"/>
    <mergeCell ref="E34:G34"/>
    <mergeCell ref="E37:G37"/>
    <mergeCell ref="E43:G43"/>
    <mergeCell ref="E51:G51"/>
    <mergeCell ref="E80:G80"/>
    <mergeCell ref="E99:G99"/>
    <mergeCell ref="E117:G117"/>
    <mergeCell ref="E120:G120"/>
  </mergeCells>
  <phoneticPr fontId="35" type="noConversion"/>
  <dataValidations xWindow="732" yWindow="693" count="11">
    <dataValidation type="list" allowBlank="1" showInputMessage="1" showErrorMessage="1" sqref="D9">
      <formula1>$G$9:$G$9</formula1>
    </dataValidation>
    <dataValidation type="list" allowBlank="1" showInputMessage="1" showErrorMessage="1" sqref="D7">
      <formula1>$G$7:$G$7</formula1>
    </dataValidation>
    <dataValidation type="list" allowBlank="1" showInputMessage="1" showErrorMessage="1" sqref="D6">
      <formula1>$G$6:$G$6</formula1>
    </dataValidation>
    <dataValidation type="list" allowBlank="1" showInputMessage="1" showErrorMessage="1" sqref="D5">
      <formula1>$G$5:$G$5</formula1>
    </dataValidation>
    <dataValidation type="list" allowBlank="1" showInputMessage="1" showErrorMessage="1" sqref="D16">
      <formula1>"yes, no"</formula1>
    </dataValidation>
    <dataValidation type="list" allowBlank="1" showInputMessage="1" showErrorMessage="1" promptTitle="Assessment Coverage" prompt="Please select ..." sqref="D10">
      <formula1>"Enterprise Information Security Program, Department Information Security Program, Other"</formula1>
    </dataValidation>
    <dataValidation type="list" allowBlank="1" showInputMessage="1" showErrorMessage="1" sqref="F5:F7 F9">
      <formula1>#REF!</formula1>
    </dataValidation>
    <dataValidation allowBlank="1" showInputMessage="1" showErrorMessage="1" prompt="Do you audit the policy as well as audit against it during a defined interval?" sqref="G22"/>
    <dataValidation allowBlank="1" showInputMessage="1" showErrorMessage="1" prompt="Does the individual or group responsible for information security have the necessary buy-in and support from the rest of the organization to fulfill its function, including setting policy, issuing sanctions, prioritizing funding, etc.? " sqref="G24"/>
    <dataValidation allowBlank="1" showInputMessage="1" showErrorMessage="1" prompt="Is there a dedicated, established role for information security across the organization? Someplace where the &quot;buck stops&quot;?" sqref="G25"/>
    <dataValidation allowBlank="1" showInputMessage="1" showErrorMessage="1" prompt="Information security comprises many different functional areas. Have resources been formally designated to cover each of the areas mentioned?" sqref="G26"/>
  </dataValidations>
  <hyperlinks>
    <hyperlink ref="C15" r:id="rId1" display="Risk Management (ISO 4)    "/>
    <hyperlink ref="C19" r:id="rId2"/>
    <hyperlink ref="C34" r:id="rId3" display="Asset Management (ISO 7)             "/>
    <hyperlink ref="C37" r:id="rId4" display="Human Resource Security (ISO 8)    "/>
    <hyperlink ref="C43" r:id="rId5"/>
    <hyperlink ref="C51" r:id="rId6"/>
    <hyperlink ref="C80" r:id="rId7"/>
    <hyperlink ref="C99" r:id="rId8"/>
    <hyperlink ref="C117" r:id="rId9"/>
    <hyperlink ref="C120" r:id="rId10"/>
    <hyperlink ref="C122" r:id="rId11"/>
    <hyperlink ref="C23" r:id="rId12"/>
  </hyperlinks>
  <printOptions headings="1"/>
  <pageMargins left="0.75" right="0.75" top="1" bottom="1" header="0.5" footer="0.5"/>
  <pageSetup scale="29" orientation="portrait"/>
  <headerFooter alignWithMargins="0">
    <oddHeader xml:space="preserve">&amp;CHEISC Information Security Benchmark Assessment Tool for Higher Education
November 2012
</oddHeader>
  </headerFooter>
  <rowBreaks count="3" manualBreakCount="3">
    <brk id="33" max="16383" man="1"/>
    <brk id="50" max="16383" man="1"/>
    <brk id="98" max="16383" man="1"/>
  </rowBreaks>
  <drawing r:id="rId13"/>
  <extLst>
    <ext xmlns:x14="http://schemas.microsoft.com/office/spreadsheetml/2009/9/main" uri="{CCE6A557-97BC-4b89-ADB6-D9C93CAAB3DF}">
      <x14:dataValidations xmlns:xm="http://schemas.microsoft.com/office/excel/2006/main" xWindow="732" yWindow="693" count="1">
        <x14:dataValidation type="list" errorStyle="warning" allowBlank="1" showInputMessage="1" showErrorMessage="1" errorTitle="Error" error="Entering another value will invalidate the calculations." promptTitle="Maturity Level" prompt="Choose one...">
          <x14:formula1>
            <xm:f>Lookups!$A$2:$A$8</xm:f>
          </x14:formula1>
          <xm:sqref>D17:D18 D20:D22 D35:D36 D38:D42 D123:D130 D44:D50 D52:D79 D81:D98 D100:D116 D118:D119 D121 D24:D33</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16"/>
  <sheetViews>
    <sheetView tabSelected="1" workbookViewId="0">
      <selection activeCell="D199" sqref="D199"/>
    </sheetView>
  </sheetViews>
  <sheetFormatPr defaultColWidth="8.7109375" defaultRowHeight="15"/>
  <cols>
    <col min="1" max="1" width="16.28515625" style="139" customWidth="1"/>
    <col min="2" max="2" width="8.7109375" style="136"/>
    <col min="3" max="3" width="17.7109375" style="41" customWidth="1"/>
    <col min="4" max="4" width="60.42578125" style="40" customWidth="1"/>
    <col min="5" max="5" width="48.42578125" style="40" customWidth="1"/>
  </cols>
  <sheetData>
    <row r="1" spans="1:5" ht="18.75">
      <c r="A1" s="189" t="s">
        <v>689</v>
      </c>
      <c r="B1" s="190"/>
      <c r="C1" s="190"/>
      <c r="D1" s="190"/>
      <c r="E1" s="190"/>
    </row>
    <row r="2" spans="1:5" ht="30.75" thickBot="1">
      <c r="A2" s="130" t="s">
        <v>688</v>
      </c>
      <c r="B2" s="130"/>
      <c r="C2" s="42" t="s">
        <v>334</v>
      </c>
      <c r="D2" s="53" t="s">
        <v>335</v>
      </c>
      <c r="E2" s="51" t="s">
        <v>486</v>
      </c>
    </row>
    <row r="3" spans="1:5" ht="15.75" thickTop="1">
      <c r="A3" s="133">
        <v>1</v>
      </c>
      <c r="B3" s="131"/>
      <c r="C3" s="141"/>
      <c r="D3" s="53"/>
      <c r="E3" s="129"/>
    </row>
    <row r="4" spans="1:5">
      <c r="A4" s="133">
        <v>2</v>
      </c>
      <c r="B4" s="142"/>
      <c r="C4" s="141"/>
      <c r="D4" s="53"/>
      <c r="E4" s="129"/>
    </row>
    <row r="5" spans="1:5">
      <c r="A5" s="133">
        <v>3</v>
      </c>
      <c r="B5" s="132">
        <v>4.0999999999999996</v>
      </c>
      <c r="C5" s="143"/>
      <c r="D5" s="53"/>
      <c r="E5" s="129"/>
    </row>
    <row r="6" spans="1:5">
      <c r="A6" s="133">
        <v>4</v>
      </c>
      <c r="B6" s="132">
        <v>4.2</v>
      </c>
      <c r="C6" s="42"/>
      <c r="D6" s="53"/>
      <c r="E6" s="129"/>
    </row>
    <row r="7" spans="1:5" ht="15.75" customHeight="1">
      <c r="A7" s="133"/>
      <c r="B7" s="140"/>
      <c r="C7" s="41" t="s">
        <v>166</v>
      </c>
      <c r="E7" s="40" t="s">
        <v>129</v>
      </c>
    </row>
    <row r="8" spans="1:5" ht="30">
      <c r="A8" s="133">
        <v>5</v>
      </c>
      <c r="B8" s="133" t="s">
        <v>603</v>
      </c>
      <c r="C8" s="41" t="s">
        <v>167</v>
      </c>
      <c r="E8" s="40" t="s">
        <v>130</v>
      </c>
    </row>
    <row r="9" spans="1:5" ht="60">
      <c r="A9" s="133">
        <v>6</v>
      </c>
      <c r="B9" s="132" t="s">
        <v>603</v>
      </c>
      <c r="C9" s="41" t="s">
        <v>209</v>
      </c>
      <c r="D9" s="40" t="s">
        <v>210</v>
      </c>
      <c r="E9" s="40" t="s">
        <v>131</v>
      </c>
    </row>
    <row r="10" spans="1:5" ht="45">
      <c r="A10" s="133">
        <v>7</v>
      </c>
      <c r="B10" s="132" t="s">
        <v>604</v>
      </c>
      <c r="C10" s="41" t="s">
        <v>211</v>
      </c>
      <c r="D10" s="40" t="s">
        <v>210</v>
      </c>
      <c r="E10" s="40" t="s">
        <v>132</v>
      </c>
    </row>
    <row r="11" spans="1:5" ht="45">
      <c r="A11" s="133"/>
      <c r="B11" s="140"/>
      <c r="C11" s="41" t="s">
        <v>168</v>
      </c>
      <c r="E11" s="40" t="s">
        <v>133</v>
      </c>
    </row>
    <row r="12" spans="1:5">
      <c r="C12" s="41" t="s">
        <v>169</v>
      </c>
      <c r="E12" s="40" t="s">
        <v>134</v>
      </c>
    </row>
    <row r="13" spans="1:5" ht="75">
      <c r="A13" s="133">
        <v>8</v>
      </c>
      <c r="B13" s="132" t="s">
        <v>605</v>
      </c>
      <c r="C13" s="41" t="s">
        <v>212</v>
      </c>
      <c r="D13" s="41" t="s">
        <v>477</v>
      </c>
      <c r="E13" s="40" t="s">
        <v>135</v>
      </c>
    </row>
    <row r="14" spans="1:5" ht="60">
      <c r="A14" s="137">
        <v>9</v>
      </c>
      <c r="B14" s="132" t="s">
        <v>606</v>
      </c>
      <c r="C14" s="41" t="s">
        <v>213</v>
      </c>
      <c r="D14" s="41" t="s">
        <v>214</v>
      </c>
      <c r="E14" s="40" t="s">
        <v>136</v>
      </c>
    </row>
    <row r="15" spans="1:5" ht="60">
      <c r="A15" s="133">
        <v>10</v>
      </c>
      <c r="B15" s="133" t="s">
        <v>607</v>
      </c>
      <c r="C15" s="41" t="s">
        <v>224</v>
      </c>
      <c r="D15" s="40" t="s">
        <v>225</v>
      </c>
      <c r="E15" s="52" t="s">
        <v>137</v>
      </c>
    </row>
    <row r="16" spans="1:5" ht="90">
      <c r="A16" s="133">
        <v>11</v>
      </c>
      <c r="B16" s="132" t="s">
        <v>608</v>
      </c>
      <c r="C16" s="41" t="s">
        <v>226</v>
      </c>
      <c r="D16" s="40" t="s">
        <v>227</v>
      </c>
      <c r="E16" s="52" t="s">
        <v>138</v>
      </c>
    </row>
    <row r="17" spans="1:5" ht="45">
      <c r="A17" s="133">
        <v>12</v>
      </c>
      <c r="B17" s="132" t="s">
        <v>609</v>
      </c>
      <c r="C17" s="41" t="s">
        <v>228</v>
      </c>
      <c r="D17" s="40" t="s">
        <v>229</v>
      </c>
      <c r="E17" s="52" t="s">
        <v>139</v>
      </c>
    </row>
    <row r="18" spans="1:5" ht="30">
      <c r="A18" s="133">
        <v>13</v>
      </c>
      <c r="B18" s="132" t="s">
        <v>610</v>
      </c>
      <c r="C18" s="41" t="s">
        <v>478</v>
      </c>
      <c r="D18" s="41" t="s">
        <v>479</v>
      </c>
      <c r="E18" s="52" t="s">
        <v>140</v>
      </c>
    </row>
    <row r="19" spans="1:5" ht="45">
      <c r="A19" s="133">
        <v>14</v>
      </c>
      <c r="B19" s="132" t="s">
        <v>611</v>
      </c>
      <c r="C19" s="41" t="s">
        <v>230</v>
      </c>
      <c r="D19" s="40" t="s">
        <v>231</v>
      </c>
      <c r="E19" s="40" t="s">
        <v>141</v>
      </c>
    </row>
    <row r="20" spans="1:5" ht="75">
      <c r="A20" s="133">
        <v>15</v>
      </c>
      <c r="B20" s="132" t="s">
        <v>612</v>
      </c>
      <c r="C20" s="41" t="s">
        <v>232</v>
      </c>
      <c r="D20" s="40" t="s">
        <v>487</v>
      </c>
      <c r="E20" s="40" t="s">
        <v>142</v>
      </c>
    </row>
    <row r="21" spans="1:5" ht="30">
      <c r="A21" s="133"/>
      <c r="B21" s="132"/>
      <c r="C21" s="41" t="s">
        <v>170</v>
      </c>
      <c r="E21" s="40" t="s">
        <v>143</v>
      </c>
    </row>
    <row r="22" spans="1:5" ht="60">
      <c r="A22" s="133">
        <v>16</v>
      </c>
      <c r="B22" s="132" t="s">
        <v>613</v>
      </c>
      <c r="C22" s="41" t="s">
        <v>233</v>
      </c>
      <c r="D22" s="40" t="s">
        <v>234</v>
      </c>
      <c r="E22" s="40" t="s">
        <v>144</v>
      </c>
    </row>
    <row r="23" spans="1:5" ht="60">
      <c r="A23" s="133">
        <v>17</v>
      </c>
      <c r="B23" s="132" t="s">
        <v>614</v>
      </c>
      <c r="C23" s="41" t="s">
        <v>235</v>
      </c>
      <c r="D23" s="40" t="s">
        <v>236</v>
      </c>
      <c r="E23" s="40" t="s">
        <v>145</v>
      </c>
    </row>
    <row r="24" spans="1:5" ht="45">
      <c r="A24" s="133"/>
      <c r="B24" s="140"/>
      <c r="C24" s="41" t="s">
        <v>237</v>
      </c>
      <c r="D24" s="40" t="s">
        <v>238</v>
      </c>
    </row>
    <row r="25" spans="1:5" ht="30">
      <c r="A25" s="133"/>
      <c r="B25" s="140"/>
      <c r="C25" s="41" t="s">
        <v>171</v>
      </c>
    </row>
    <row r="26" spans="1:5" ht="45">
      <c r="A26" s="133"/>
      <c r="B26" s="140"/>
      <c r="C26" s="41" t="s">
        <v>172</v>
      </c>
    </row>
    <row r="27" spans="1:5" ht="30">
      <c r="A27" s="133">
        <v>18</v>
      </c>
      <c r="B27" s="132" t="s">
        <v>615</v>
      </c>
      <c r="C27" s="41" t="s">
        <v>239</v>
      </c>
      <c r="D27" s="40" t="s">
        <v>240</v>
      </c>
    </row>
    <row r="28" spans="1:5" ht="30">
      <c r="A28" s="133">
        <v>19</v>
      </c>
      <c r="B28" s="132" t="s">
        <v>616</v>
      </c>
      <c r="C28" s="41" t="s">
        <v>241</v>
      </c>
      <c r="D28" s="40" t="s">
        <v>240</v>
      </c>
    </row>
    <row r="29" spans="1:5" ht="30">
      <c r="A29" s="133"/>
      <c r="B29" s="140"/>
      <c r="C29" s="41" t="s">
        <v>242</v>
      </c>
      <c r="D29" s="40" t="s">
        <v>243</v>
      </c>
    </row>
    <row r="30" spans="1:5" ht="30">
      <c r="A30" s="133"/>
      <c r="B30" s="140"/>
      <c r="C30" s="41" t="s">
        <v>173</v>
      </c>
    </row>
    <row r="31" spans="1:5" ht="45">
      <c r="A31" s="133"/>
      <c r="B31" s="140"/>
      <c r="C31" s="41" t="s">
        <v>244</v>
      </c>
      <c r="D31" s="40" t="s">
        <v>245</v>
      </c>
    </row>
    <row r="32" spans="1:5" ht="60">
      <c r="A32" s="133"/>
      <c r="B32" s="140"/>
      <c r="C32" s="41" t="s">
        <v>246</v>
      </c>
      <c r="D32" s="40" t="s">
        <v>247</v>
      </c>
    </row>
    <row r="33" spans="1:4" ht="45">
      <c r="A33" s="133"/>
      <c r="B33" s="140"/>
      <c r="C33" s="41" t="s">
        <v>174</v>
      </c>
    </row>
    <row r="34" spans="1:4" ht="30">
      <c r="A34" s="133"/>
      <c r="B34" s="140"/>
      <c r="C34" s="41" t="s">
        <v>175</v>
      </c>
    </row>
    <row r="35" spans="1:4" ht="30" customHeight="1">
      <c r="A35" s="133"/>
      <c r="B35" s="140"/>
      <c r="C35" s="41" t="s">
        <v>248</v>
      </c>
      <c r="D35" s="41" t="s">
        <v>249</v>
      </c>
    </row>
    <row r="36" spans="1:4">
      <c r="A36" s="133"/>
      <c r="B36" s="140"/>
      <c r="C36" s="41" t="s">
        <v>252</v>
      </c>
      <c r="D36" s="40" t="s">
        <v>253</v>
      </c>
    </row>
    <row r="37" spans="1:4" ht="45">
      <c r="A37" s="133"/>
      <c r="B37" s="140"/>
      <c r="C37" s="41" t="s">
        <v>250</v>
      </c>
      <c r="D37" s="40" t="s">
        <v>251</v>
      </c>
    </row>
    <row r="38" spans="1:4" ht="30">
      <c r="A38" s="133"/>
      <c r="B38" s="140"/>
      <c r="C38" s="41" t="s">
        <v>176</v>
      </c>
    </row>
    <row r="39" spans="1:4" ht="45">
      <c r="A39" s="133">
        <v>20</v>
      </c>
      <c r="B39" s="132" t="s">
        <v>617</v>
      </c>
      <c r="C39" s="41" t="s">
        <v>254</v>
      </c>
      <c r="D39" s="40" t="s">
        <v>255</v>
      </c>
    </row>
    <row r="40" spans="1:4" ht="60">
      <c r="A40" s="133">
        <v>21</v>
      </c>
      <c r="B40" s="132" t="s">
        <v>618</v>
      </c>
      <c r="C40" s="41" t="s">
        <v>258</v>
      </c>
      <c r="D40" s="40" t="s">
        <v>259</v>
      </c>
    </row>
    <row r="41" spans="1:4" ht="45">
      <c r="A41" s="133">
        <v>22</v>
      </c>
      <c r="B41" s="132" t="s">
        <v>619</v>
      </c>
      <c r="C41" s="41" t="s">
        <v>256</v>
      </c>
      <c r="D41" s="40" t="s">
        <v>257</v>
      </c>
    </row>
    <row r="42" spans="1:4" ht="45">
      <c r="A42" s="133">
        <v>23</v>
      </c>
      <c r="B42" s="132" t="s">
        <v>620</v>
      </c>
      <c r="C42" s="41" t="s">
        <v>177</v>
      </c>
    </row>
    <row r="43" spans="1:4" ht="45">
      <c r="A43" s="133">
        <v>24</v>
      </c>
      <c r="B43" s="132" t="s">
        <v>621</v>
      </c>
      <c r="C43" s="41" t="s">
        <v>260</v>
      </c>
      <c r="D43" s="40" t="s">
        <v>261</v>
      </c>
    </row>
    <row r="44" spans="1:4" ht="30">
      <c r="C44" s="41" t="s">
        <v>262</v>
      </c>
      <c r="D44" s="40" t="s">
        <v>261</v>
      </c>
    </row>
    <row r="45" spans="1:4" ht="30">
      <c r="C45" s="41" t="s">
        <v>263</v>
      </c>
      <c r="D45" s="40" t="s">
        <v>264</v>
      </c>
    </row>
    <row r="46" spans="1:4" ht="45">
      <c r="A46" s="133"/>
      <c r="B46" s="140"/>
      <c r="C46" s="41" t="s">
        <v>178</v>
      </c>
    </row>
    <row r="47" spans="1:4">
      <c r="A47" s="133"/>
      <c r="B47" s="140"/>
      <c r="C47" s="41" t="s">
        <v>179</v>
      </c>
    </row>
    <row r="48" spans="1:4" ht="30">
      <c r="A48" s="133"/>
      <c r="B48" s="140"/>
      <c r="C48" s="41" t="s">
        <v>265</v>
      </c>
      <c r="D48" s="40" t="s">
        <v>266</v>
      </c>
    </row>
    <row r="49" spans="1:4" ht="30">
      <c r="A49" s="133">
        <v>25</v>
      </c>
      <c r="B49" s="132" t="s">
        <v>622</v>
      </c>
      <c r="C49" s="41" t="s">
        <v>267</v>
      </c>
      <c r="D49" s="40" t="s">
        <v>268</v>
      </c>
    </row>
    <row r="50" spans="1:4" ht="45">
      <c r="A50" s="133"/>
      <c r="B50" s="140"/>
      <c r="C50" s="41" t="s">
        <v>269</v>
      </c>
      <c r="D50" s="40" t="s">
        <v>270</v>
      </c>
    </row>
    <row r="51" spans="1:4" ht="75">
      <c r="A51" s="133">
        <v>26</v>
      </c>
      <c r="B51" s="132" t="s">
        <v>623</v>
      </c>
      <c r="C51" s="41" t="s">
        <v>271</v>
      </c>
      <c r="D51" s="40" t="s">
        <v>272</v>
      </c>
    </row>
    <row r="52" spans="1:4" ht="30">
      <c r="A52" s="133">
        <v>27</v>
      </c>
      <c r="B52" s="132" t="s">
        <v>624</v>
      </c>
      <c r="C52" s="41" t="s">
        <v>273</v>
      </c>
      <c r="D52" s="40" t="s">
        <v>274</v>
      </c>
    </row>
    <row r="53" spans="1:4" ht="45">
      <c r="A53" s="133"/>
      <c r="B53" s="140"/>
      <c r="C53" s="41" t="s">
        <v>275</v>
      </c>
      <c r="D53" s="40" t="s">
        <v>276</v>
      </c>
    </row>
    <row r="54" spans="1:4" ht="30">
      <c r="A54" s="133"/>
      <c r="B54" s="140"/>
      <c r="C54" s="41" t="s">
        <v>180</v>
      </c>
    </row>
    <row r="55" spans="1:4" ht="45">
      <c r="C55" s="41" t="s">
        <v>277</v>
      </c>
      <c r="D55" s="40" t="s">
        <v>278</v>
      </c>
    </row>
    <row r="56" spans="1:4" ht="30">
      <c r="C56" s="41" t="s">
        <v>279</v>
      </c>
      <c r="D56" s="40" t="s">
        <v>280</v>
      </c>
    </row>
    <row r="57" spans="1:4" ht="30">
      <c r="C57" s="41" t="s">
        <v>281</v>
      </c>
      <c r="D57" s="40" t="s">
        <v>282</v>
      </c>
    </row>
    <row r="58" spans="1:4" ht="30">
      <c r="A58" s="133">
        <v>28</v>
      </c>
      <c r="B58" s="132" t="s">
        <v>625</v>
      </c>
      <c r="C58" s="41" t="s">
        <v>283</v>
      </c>
      <c r="D58" s="40" t="s">
        <v>284</v>
      </c>
    </row>
    <row r="59" spans="1:4" ht="45">
      <c r="A59" s="138"/>
      <c r="B59" s="134"/>
      <c r="C59" s="41" t="s">
        <v>285</v>
      </c>
      <c r="D59" s="40" t="s">
        <v>286</v>
      </c>
    </row>
    <row r="60" spans="1:4" ht="45">
      <c r="A60" s="133">
        <v>29</v>
      </c>
      <c r="B60" s="132" t="s">
        <v>626</v>
      </c>
      <c r="C60" s="41" t="s">
        <v>287</v>
      </c>
      <c r="D60" s="40" t="s">
        <v>288</v>
      </c>
    </row>
    <row r="61" spans="1:4" ht="45">
      <c r="A61" s="133">
        <v>30</v>
      </c>
      <c r="B61" s="132" t="s">
        <v>627</v>
      </c>
      <c r="C61" s="41" t="s">
        <v>181</v>
      </c>
      <c r="D61" s="40" t="s">
        <v>289</v>
      </c>
    </row>
    <row r="62" spans="1:4" ht="60">
      <c r="A62" s="133"/>
      <c r="B62" s="140"/>
      <c r="C62" s="41" t="s">
        <v>182</v>
      </c>
    </row>
    <row r="63" spans="1:4" ht="45">
      <c r="C63" s="41" t="s">
        <v>183</v>
      </c>
    </row>
    <row r="64" spans="1:4" ht="60">
      <c r="A64" s="133">
        <v>31</v>
      </c>
      <c r="B64" s="132" t="s">
        <v>628</v>
      </c>
      <c r="C64" s="41" t="s">
        <v>310</v>
      </c>
      <c r="D64" s="40" t="s">
        <v>311</v>
      </c>
    </row>
    <row r="65" spans="1:4" ht="30">
      <c r="A65" s="133">
        <v>32</v>
      </c>
      <c r="B65" s="132" t="s">
        <v>629</v>
      </c>
      <c r="C65" s="41" t="s">
        <v>312</v>
      </c>
      <c r="D65" s="40" t="s">
        <v>313</v>
      </c>
    </row>
    <row r="66" spans="1:4" ht="45">
      <c r="A66" s="133">
        <v>33</v>
      </c>
      <c r="B66" s="132" t="s">
        <v>630</v>
      </c>
      <c r="C66" s="41" t="s">
        <v>314</v>
      </c>
      <c r="D66" s="40" t="s">
        <v>315</v>
      </c>
    </row>
    <row r="67" spans="1:4" ht="18.75" customHeight="1">
      <c r="A67" s="133">
        <v>34</v>
      </c>
      <c r="B67" s="132" t="s">
        <v>631</v>
      </c>
      <c r="C67" s="41" t="s">
        <v>316</v>
      </c>
      <c r="D67" s="40" t="s">
        <v>317</v>
      </c>
    </row>
    <row r="68" spans="1:4" ht="45">
      <c r="A68" s="133"/>
      <c r="B68" s="132"/>
      <c r="C68" s="41" t="s">
        <v>184</v>
      </c>
    </row>
    <row r="69" spans="1:4" ht="30">
      <c r="A69" s="133">
        <v>35</v>
      </c>
      <c r="B69" s="132" t="s">
        <v>632</v>
      </c>
      <c r="C69" s="41" t="s">
        <v>336</v>
      </c>
      <c r="D69" s="40" t="s">
        <v>337</v>
      </c>
    </row>
    <row r="70" spans="1:4" ht="60">
      <c r="A70" s="133">
        <v>36</v>
      </c>
      <c r="B70" s="132" t="s">
        <v>633</v>
      </c>
      <c r="C70" s="41" t="s">
        <v>338</v>
      </c>
      <c r="D70" s="40" t="s">
        <v>337</v>
      </c>
    </row>
    <row r="71" spans="1:4" ht="45">
      <c r="C71" s="41" t="s">
        <v>339</v>
      </c>
      <c r="D71" s="40" t="s">
        <v>340</v>
      </c>
    </row>
    <row r="72" spans="1:4" ht="15" customHeight="1">
      <c r="C72" s="41" t="s">
        <v>185</v>
      </c>
    </row>
    <row r="73" spans="1:4" ht="30">
      <c r="A73" s="133">
        <v>40</v>
      </c>
      <c r="B73" s="132" t="s">
        <v>634</v>
      </c>
      <c r="C73" s="41" t="s">
        <v>341</v>
      </c>
      <c r="D73" s="40" t="s">
        <v>342</v>
      </c>
    </row>
    <row r="74" spans="1:4" ht="30">
      <c r="A74" s="133"/>
      <c r="B74" s="135"/>
      <c r="C74" s="41" t="s">
        <v>343</v>
      </c>
      <c r="D74" s="40" t="s">
        <v>344</v>
      </c>
    </row>
    <row r="75" spans="1:4" ht="45" customHeight="1">
      <c r="A75" s="133"/>
      <c r="B75" s="135"/>
      <c r="C75" s="41" t="s">
        <v>186</v>
      </c>
    </row>
    <row r="76" spans="1:4" ht="16.5" customHeight="1">
      <c r="A76" s="133">
        <v>41</v>
      </c>
      <c r="B76" s="132" t="s">
        <v>635</v>
      </c>
      <c r="C76" s="41" t="s">
        <v>345</v>
      </c>
      <c r="D76" s="41" t="s">
        <v>346</v>
      </c>
    </row>
    <row r="77" spans="1:4" ht="45">
      <c r="C77" s="41" t="s">
        <v>347</v>
      </c>
      <c r="D77" s="40" t="s">
        <v>348</v>
      </c>
    </row>
    <row r="78" spans="1:4">
      <c r="C78" s="41" t="s">
        <v>187</v>
      </c>
    </row>
    <row r="79" spans="1:4" ht="15" customHeight="1">
      <c r="A79" s="133">
        <v>43</v>
      </c>
      <c r="B79" s="132" t="s">
        <v>636</v>
      </c>
      <c r="C79" s="41" t="s">
        <v>350</v>
      </c>
      <c r="D79" s="40" t="s">
        <v>349</v>
      </c>
    </row>
    <row r="80" spans="1:4" ht="45">
      <c r="C80" s="41" t="s">
        <v>188</v>
      </c>
    </row>
    <row r="81" spans="1:4" ht="30">
      <c r="A81" s="133">
        <v>45</v>
      </c>
      <c r="B81" s="132" t="s">
        <v>637</v>
      </c>
      <c r="C81" s="41" t="s">
        <v>351</v>
      </c>
      <c r="D81" s="41" t="s">
        <v>352</v>
      </c>
    </row>
    <row r="82" spans="1:4" ht="15" customHeight="1">
      <c r="C82" s="41" t="s">
        <v>353</v>
      </c>
      <c r="D82" s="40" t="s">
        <v>354</v>
      </c>
    </row>
    <row r="83" spans="1:4" ht="30">
      <c r="A83" s="133"/>
      <c r="B83" s="135"/>
      <c r="C83" s="41" t="s">
        <v>189</v>
      </c>
    </row>
    <row r="84" spans="1:4" ht="15" customHeight="1">
      <c r="A84" s="188">
        <v>50</v>
      </c>
      <c r="B84" s="191" t="s">
        <v>638</v>
      </c>
      <c r="C84" s="41" t="s">
        <v>358</v>
      </c>
      <c r="D84" s="40" t="s">
        <v>359</v>
      </c>
    </row>
    <row r="85" spans="1:4" ht="30">
      <c r="A85" s="188"/>
      <c r="B85" s="191"/>
      <c r="C85" s="41" t="s">
        <v>355</v>
      </c>
      <c r="D85" s="40" t="s">
        <v>288</v>
      </c>
    </row>
    <row r="86" spans="1:4" ht="60">
      <c r="A86" s="188"/>
      <c r="B86" s="191"/>
      <c r="C86" s="41" t="s">
        <v>361</v>
      </c>
      <c r="D86" s="40" t="s">
        <v>360</v>
      </c>
    </row>
    <row r="87" spans="1:4" ht="45">
      <c r="A87" s="133"/>
      <c r="B87" s="132"/>
      <c r="C87" s="41" t="s">
        <v>356</v>
      </c>
      <c r="D87" s="40" t="s">
        <v>357</v>
      </c>
    </row>
    <row r="88" spans="1:4" ht="15" customHeight="1">
      <c r="A88" s="133"/>
      <c r="B88" s="132"/>
      <c r="C88" s="41" t="s">
        <v>190</v>
      </c>
    </row>
    <row r="89" spans="1:4" ht="60">
      <c r="A89" s="133">
        <v>51</v>
      </c>
      <c r="B89" s="132" t="s">
        <v>639</v>
      </c>
      <c r="C89" s="41" t="s">
        <v>362</v>
      </c>
      <c r="D89" s="41" t="s">
        <v>363</v>
      </c>
    </row>
    <row r="90" spans="1:4" ht="30">
      <c r="A90" s="133"/>
      <c r="B90" s="132"/>
      <c r="C90" s="41" t="s">
        <v>441</v>
      </c>
      <c r="D90" s="40" t="s">
        <v>439</v>
      </c>
    </row>
    <row r="91" spans="1:4" ht="30">
      <c r="A91" s="133"/>
      <c r="B91" s="132"/>
      <c r="C91" s="41" t="s">
        <v>442</v>
      </c>
      <c r="D91" s="40" t="s">
        <v>440</v>
      </c>
    </row>
    <row r="92" spans="1:4" ht="30">
      <c r="A92" s="133"/>
      <c r="B92" s="132"/>
      <c r="C92" s="41" t="s">
        <v>480</v>
      </c>
      <c r="D92" s="41" t="s">
        <v>481</v>
      </c>
    </row>
    <row r="93" spans="1:4" ht="45">
      <c r="A93" s="133"/>
      <c r="B93" s="132"/>
      <c r="C93" s="41" t="s">
        <v>444</v>
      </c>
      <c r="D93" s="40" t="s">
        <v>443</v>
      </c>
    </row>
    <row r="94" spans="1:4" ht="45">
      <c r="A94" s="133"/>
      <c r="B94" s="132"/>
      <c r="C94" s="41" t="s">
        <v>191</v>
      </c>
    </row>
    <row r="95" spans="1:4" ht="30">
      <c r="A95" s="188">
        <v>52</v>
      </c>
      <c r="B95" s="192" t="s">
        <v>640</v>
      </c>
      <c r="C95" s="41" t="s">
        <v>445</v>
      </c>
      <c r="D95" s="40" t="s">
        <v>446</v>
      </c>
    </row>
    <row r="96" spans="1:4" ht="30">
      <c r="A96" s="188"/>
      <c r="B96" s="192"/>
      <c r="C96" s="41" t="s">
        <v>447</v>
      </c>
      <c r="D96" s="40" t="s">
        <v>448</v>
      </c>
    </row>
    <row r="97" spans="1:4" ht="45">
      <c r="A97" s="133"/>
      <c r="B97" s="132"/>
      <c r="C97" s="41" t="s">
        <v>450</v>
      </c>
      <c r="D97" s="40" t="s">
        <v>449</v>
      </c>
    </row>
    <row r="98" spans="1:4" ht="15" customHeight="1">
      <c r="C98" s="41" t="s">
        <v>192</v>
      </c>
    </row>
    <row r="99" spans="1:4" ht="30">
      <c r="A99" s="133">
        <v>53</v>
      </c>
      <c r="B99" s="132" t="s">
        <v>641</v>
      </c>
      <c r="C99" s="41" t="s">
        <v>451</v>
      </c>
      <c r="D99" s="40" t="s">
        <v>452</v>
      </c>
    </row>
    <row r="100" spans="1:4" ht="45">
      <c r="A100" s="133">
        <v>54</v>
      </c>
      <c r="B100" s="132" t="s">
        <v>642</v>
      </c>
      <c r="C100" s="41" t="s">
        <v>453</v>
      </c>
      <c r="D100" s="40" t="s">
        <v>454</v>
      </c>
    </row>
    <row r="101" spans="1:4" ht="45">
      <c r="A101" s="133"/>
      <c r="C101" s="41" t="s">
        <v>458</v>
      </c>
      <c r="D101" s="40" t="s">
        <v>291</v>
      </c>
    </row>
    <row r="102" spans="1:4" ht="15" customHeight="1">
      <c r="A102" s="133">
        <v>57</v>
      </c>
      <c r="B102" s="132" t="s">
        <v>643</v>
      </c>
      <c r="C102" s="41" t="s">
        <v>459</v>
      </c>
      <c r="D102" s="40" t="s">
        <v>455</v>
      </c>
    </row>
    <row r="103" spans="1:4" ht="30">
      <c r="A103" s="133">
        <v>59</v>
      </c>
      <c r="B103" s="132" t="s">
        <v>644</v>
      </c>
      <c r="C103" s="41" t="s">
        <v>460</v>
      </c>
      <c r="D103" s="40" t="s">
        <v>456</v>
      </c>
    </row>
    <row r="104" spans="1:4" ht="30">
      <c r="A104" s="133">
        <v>60</v>
      </c>
      <c r="B104" s="132" t="s">
        <v>645</v>
      </c>
      <c r="C104" s="41" t="s">
        <v>461</v>
      </c>
      <c r="D104" s="40" t="s">
        <v>457</v>
      </c>
    </row>
    <row r="105" spans="1:4" ht="30">
      <c r="C105" s="41" t="s">
        <v>193</v>
      </c>
    </row>
    <row r="106" spans="1:4" ht="15" customHeight="1">
      <c r="C106" s="41" t="s">
        <v>194</v>
      </c>
    </row>
    <row r="107" spans="1:4" ht="30">
      <c r="A107" s="133">
        <v>61</v>
      </c>
      <c r="B107" s="132" t="s">
        <v>646</v>
      </c>
      <c r="C107" s="41" t="s">
        <v>462</v>
      </c>
      <c r="D107" s="40" t="s">
        <v>463</v>
      </c>
    </row>
    <row r="108" spans="1:4" ht="30">
      <c r="C108" s="41" t="s">
        <v>195</v>
      </c>
    </row>
    <row r="109" spans="1:4" ht="30">
      <c r="A109" s="133">
        <v>62</v>
      </c>
      <c r="B109" s="132" t="s">
        <v>647</v>
      </c>
      <c r="C109" s="41" t="s">
        <v>464</v>
      </c>
      <c r="D109" s="40" t="s">
        <v>465</v>
      </c>
    </row>
    <row r="110" spans="1:4" ht="15" customHeight="1">
      <c r="A110" s="133"/>
      <c r="B110" s="132" t="s">
        <v>648</v>
      </c>
      <c r="C110" s="41" t="s">
        <v>466</v>
      </c>
      <c r="D110" s="40" t="s">
        <v>468</v>
      </c>
    </row>
    <row r="111" spans="1:4" ht="45">
      <c r="A111" s="133">
        <v>63</v>
      </c>
      <c r="B111" s="132" t="s">
        <v>649</v>
      </c>
      <c r="C111" s="41" t="s">
        <v>470</v>
      </c>
      <c r="D111" s="40" t="s">
        <v>467</v>
      </c>
    </row>
    <row r="112" spans="1:4" ht="15" customHeight="1">
      <c r="A112" s="133">
        <v>64</v>
      </c>
      <c r="B112" s="132" t="s">
        <v>650</v>
      </c>
      <c r="C112" s="41" t="s">
        <v>471</v>
      </c>
      <c r="D112" s="40" t="s">
        <v>469</v>
      </c>
    </row>
    <row r="113" spans="1:4" ht="30">
      <c r="A113" s="133"/>
      <c r="B113" s="132"/>
      <c r="C113" s="41" t="s">
        <v>196</v>
      </c>
    </row>
    <row r="114" spans="1:4" ht="30">
      <c r="A114" s="133"/>
      <c r="B114" s="132"/>
      <c r="C114" s="41" t="s">
        <v>476</v>
      </c>
      <c r="D114" s="40" t="s">
        <v>423</v>
      </c>
    </row>
    <row r="115" spans="1:4" ht="45">
      <c r="A115" s="133"/>
      <c r="B115" s="132"/>
      <c r="C115" s="41" t="s">
        <v>472</v>
      </c>
      <c r="D115" s="40" t="s">
        <v>473</v>
      </c>
    </row>
    <row r="116" spans="1:4" ht="45">
      <c r="A116" s="133"/>
      <c r="B116" s="132"/>
      <c r="C116" s="41" t="s">
        <v>475</v>
      </c>
      <c r="D116" s="40" t="s">
        <v>474</v>
      </c>
    </row>
    <row r="117" spans="1:4" ht="30">
      <c r="A117" s="133"/>
      <c r="B117" s="132"/>
      <c r="C117" s="41" t="s">
        <v>197</v>
      </c>
    </row>
    <row r="118" spans="1:4" ht="45">
      <c r="A118" s="133"/>
      <c r="B118" s="132"/>
      <c r="C118" s="41" t="s">
        <v>437</v>
      </c>
      <c r="D118" s="40" t="s">
        <v>438</v>
      </c>
    </row>
    <row r="119" spans="1:4" ht="15" customHeight="1">
      <c r="A119" s="133">
        <v>65</v>
      </c>
      <c r="B119" s="132" t="s">
        <v>651</v>
      </c>
      <c r="C119" s="41" t="s">
        <v>435</v>
      </c>
      <c r="D119" s="40" t="s">
        <v>436</v>
      </c>
    </row>
    <row r="120" spans="1:4" ht="60">
      <c r="A120" s="133"/>
      <c r="B120" s="132"/>
      <c r="C120" s="41" t="s">
        <v>434</v>
      </c>
      <c r="D120" s="40" t="s">
        <v>433</v>
      </c>
    </row>
    <row r="121" spans="1:4" ht="60">
      <c r="A121" s="133">
        <v>66</v>
      </c>
      <c r="B121" s="132" t="s">
        <v>652</v>
      </c>
      <c r="C121" s="41" t="s">
        <v>430</v>
      </c>
      <c r="D121" s="40" t="s">
        <v>431</v>
      </c>
    </row>
    <row r="122" spans="1:4" ht="45">
      <c r="A122" s="133"/>
      <c r="B122" s="132"/>
      <c r="C122" s="41" t="s">
        <v>432</v>
      </c>
    </row>
    <row r="123" spans="1:4" ht="15" customHeight="1">
      <c r="A123" s="133">
        <v>67</v>
      </c>
      <c r="B123" s="132" t="s">
        <v>653</v>
      </c>
      <c r="C123" s="41" t="s">
        <v>428</v>
      </c>
      <c r="D123" s="40" t="s">
        <v>429</v>
      </c>
    </row>
    <row r="124" spans="1:4" ht="30">
      <c r="A124" s="133">
        <v>68</v>
      </c>
      <c r="B124" s="132" t="s">
        <v>654</v>
      </c>
      <c r="C124" s="41" t="s">
        <v>426</v>
      </c>
      <c r="D124" s="40" t="s">
        <v>427</v>
      </c>
    </row>
    <row r="125" spans="1:4" ht="45">
      <c r="A125" s="133"/>
      <c r="B125" s="132"/>
      <c r="C125" s="41" t="s">
        <v>198</v>
      </c>
    </row>
    <row r="126" spans="1:4" ht="30">
      <c r="A126" s="133">
        <v>69</v>
      </c>
      <c r="B126" s="132" t="s">
        <v>655</v>
      </c>
      <c r="C126" s="41" t="s">
        <v>416</v>
      </c>
      <c r="D126" s="40" t="s">
        <v>417</v>
      </c>
    </row>
    <row r="127" spans="1:4" ht="45">
      <c r="A127" s="133">
        <v>70</v>
      </c>
      <c r="B127" s="132" t="s">
        <v>656</v>
      </c>
      <c r="C127" s="41" t="s">
        <v>418</v>
      </c>
      <c r="D127" s="40" t="s">
        <v>419</v>
      </c>
    </row>
    <row r="128" spans="1:4" ht="15" customHeight="1">
      <c r="A128" s="133">
        <v>72</v>
      </c>
      <c r="B128" s="132" t="s">
        <v>657</v>
      </c>
      <c r="C128" s="41" t="s">
        <v>420</v>
      </c>
      <c r="D128" s="40" t="s">
        <v>423</v>
      </c>
    </row>
    <row r="129" spans="1:4" ht="30">
      <c r="A129" s="133">
        <v>73</v>
      </c>
      <c r="B129" s="132" t="s">
        <v>658</v>
      </c>
      <c r="C129" s="41" t="s">
        <v>421</v>
      </c>
      <c r="D129" s="40" t="s">
        <v>422</v>
      </c>
    </row>
    <row r="130" spans="1:4" ht="30">
      <c r="C130" s="41" t="s">
        <v>424</v>
      </c>
      <c r="D130" s="40" t="s">
        <v>425</v>
      </c>
    </row>
    <row r="131" spans="1:4" ht="15" customHeight="1">
      <c r="C131" s="41" t="s">
        <v>414</v>
      </c>
      <c r="D131" s="40" t="s">
        <v>415</v>
      </c>
    </row>
    <row r="132" spans="1:4" ht="15" customHeight="1">
      <c r="A132" s="133"/>
      <c r="B132" s="132"/>
      <c r="C132" s="41" t="s">
        <v>199</v>
      </c>
    </row>
    <row r="133" spans="1:4" ht="45">
      <c r="C133" s="41" t="s">
        <v>412</v>
      </c>
      <c r="D133" s="40" t="s">
        <v>413</v>
      </c>
    </row>
    <row r="134" spans="1:4" ht="15" customHeight="1">
      <c r="A134" s="133">
        <v>74</v>
      </c>
      <c r="B134" s="132" t="s">
        <v>659</v>
      </c>
      <c r="C134" s="41" t="s">
        <v>410</v>
      </c>
      <c r="D134" s="40" t="s">
        <v>411</v>
      </c>
    </row>
    <row r="135" spans="1:4" ht="45">
      <c r="C135" s="41" t="s">
        <v>200</v>
      </c>
    </row>
    <row r="136" spans="1:4" ht="15" customHeight="1">
      <c r="A136" s="133">
        <v>75</v>
      </c>
      <c r="B136" s="132" t="s">
        <v>660</v>
      </c>
      <c r="C136" s="41" t="s">
        <v>408</v>
      </c>
      <c r="D136" s="40" t="s">
        <v>409</v>
      </c>
    </row>
    <row r="137" spans="1:4" ht="30">
      <c r="A137" s="133">
        <v>77</v>
      </c>
      <c r="B137" s="132" t="s">
        <v>661</v>
      </c>
      <c r="C137" s="41" t="s">
        <v>406</v>
      </c>
      <c r="D137" s="40" t="s">
        <v>407</v>
      </c>
    </row>
    <row r="138" spans="1:4" ht="75">
      <c r="C138" s="41" t="s">
        <v>405</v>
      </c>
    </row>
    <row r="139" spans="1:4" ht="15" customHeight="1">
      <c r="A139" s="133">
        <v>78</v>
      </c>
      <c r="B139" s="132">
        <v>12.1</v>
      </c>
      <c r="C139" s="41" t="s">
        <v>201</v>
      </c>
    </row>
    <row r="140" spans="1:4" ht="60">
      <c r="A140" s="133">
        <v>79</v>
      </c>
      <c r="B140" s="132" t="s">
        <v>662</v>
      </c>
      <c r="C140" s="41" t="s">
        <v>403</v>
      </c>
      <c r="D140" s="40" t="s">
        <v>404</v>
      </c>
    </row>
    <row r="141" spans="1:4" ht="15" customHeight="1">
      <c r="A141" s="133"/>
      <c r="B141" s="135"/>
      <c r="C141" s="41" t="s">
        <v>202</v>
      </c>
    </row>
    <row r="142" spans="1:4" ht="30">
      <c r="A142" s="133">
        <v>80</v>
      </c>
      <c r="B142" s="132" t="s">
        <v>663</v>
      </c>
      <c r="C142" s="41" t="s">
        <v>401</v>
      </c>
      <c r="D142" s="40" t="s">
        <v>402</v>
      </c>
    </row>
    <row r="143" spans="1:4" ht="45">
      <c r="A143" s="133">
        <v>81</v>
      </c>
      <c r="B143" s="132" t="s">
        <v>664</v>
      </c>
      <c r="C143" s="41" t="s">
        <v>399</v>
      </c>
      <c r="D143" s="40" t="s">
        <v>400</v>
      </c>
    </row>
    <row r="144" spans="1:4" ht="30">
      <c r="A144" s="133">
        <v>82</v>
      </c>
      <c r="B144" s="132" t="s">
        <v>665</v>
      </c>
      <c r="C144" s="41" t="s">
        <v>397</v>
      </c>
      <c r="D144" s="40" t="s">
        <v>398</v>
      </c>
    </row>
    <row r="145" spans="1:4" ht="30">
      <c r="A145" s="133">
        <v>83</v>
      </c>
      <c r="B145" s="132" t="s">
        <v>666</v>
      </c>
      <c r="C145" s="41" t="s">
        <v>396</v>
      </c>
      <c r="D145" s="40" t="s">
        <v>395</v>
      </c>
    </row>
    <row r="146" spans="1:4" ht="45">
      <c r="C146" s="41" t="s">
        <v>203</v>
      </c>
    </row>
    <row r="147" spans="1:4" ht="60">
      <c r="A147" s="133">
        <v>84</v>
      </c>
      <c r="B147" s="132" t="s">
        <v>667</v>
      </c>
      <c r="C147" s="41" t="s">
        <v>393</v>
      </c>
      <c r="D147" s="41" t="s">
        <v>394</v>
      </c>
    </row>
    <row r="148" spans="1:4" ht="30">
      <c r="A148" s="133">
        <v>85</v>
      </c>
      <c r="B148" s="132" t="s">
        <v>668</v>
      </c>
      <c r="C148" s="41" t="s">
        <v>391</v>
      </c>
      <c r="D148" s="50" t="s">
        <v>392</v>
      </c>
    </row>
    <row r="149" spans="1:4" ht="30">
      <c r="A149" s="133"/>
      <c r="B149" s="132"/>
      <c r="C149" s="41" t="s">
        <v>204</v>
      </c>
    </row>
    <row r="150" spans="1:4" ht="15" customHeight="1">
      <c r="A150" s="133">
        <v>86</v>
      </c>
      <c r="B150" s="132" t="s">
        <v>669</v>
      </c>
      <c r="C150" s="41" t="s">
        <v>389</v>
      </c>
      <c r="D150" s="40" t="s">
        <v>390</v>
      </c>
    </row>
    <row r="151" spans="1:4" ht="150">
      <c r="A151" s="133">
        <v>87</v>
      </c>
      <c r="B151" s="132" t="s">
        <v>670</v>
      </c>
      <c r="C151" s="41" t="s">
        <v>388</v>
      </c>
    </row>
    <row r="152" spans="1:4" ht="45">
      <c r="A152" s="133">
        <v>88</v>
      </c>
      <c r="B152" s="132" t="s">
        <v>671</v>
      </c>
      <c r="C152" s="41" t="s">
        <v>386</v>
      </c>
      <c r="D152" s="40" t="s">
        <v>387</v>
      </c>
    </row>
    <row r="153" spans="1:4" ht="45">
      <c r="A153" s="133">
        <v>89</v>
      </c>
      <c r="B153" s="132" t="s">
        <v>672</v>
      </c>
      <c r="C153" s="41" t="s">
        <v>205</v>
      </c>
    </row>
    <row r="154" spans="1:4" ht="45">
      <c r="A154" s="133">
        <v>90</v>
      </c>
      <c r="B154" s="132" t="s">
        <v>673</v>
      </c>
      <c r="C154" s="41" t="s">
        <v>384</v>
      </c>
      <c r="D154" s="40" t="s">
        <v>385</v>
      </c>
    </row>
    <row r="155" spans="1:4" ht="15" customHeight="1">
      <c r="C155" s="41" t="s">
        <v>383</v>
      </c>
      <c r="D155" s="40" t="s">
        <v>206</v>
      </c>
    </row>
    <row r="156" spans="1:4" ht="60">
      <c r="C156" s="41" t="s">
        <v>381</v>
      </c>
      <c r="D156" s="40" t="s">
        <v>382</v>
      </c>
    </row>
    <row r="157" spans="1:4" ht="45">
      <c r="A157" s="133">
        <v>91</v>
      </c>
      <c r="B157" s="132" t="s">
        <v>674</v>
      </c>
      <c r="C157" s="41" t="s">
        <v>379</v>
      </c>
      <c r="D157" s="40" t="s">
        <v>380</v>
      </c>
    </row>
    <row r="158" spans="1:4" ht="16.5" customHeight="1">
      <c r="A158" s="133">
        <v>92</v>
      </c>
      <c r="B158" s="132" t="s">
        <v>675</v>
      </c>
      <c r="C158" s="41" t="s">
        <v>377</v>
      </c>
      <c r="D158" s="40" t="s">
        <v>378</v>
      </c>
    </row>
    <row r="159" spans="1:4" ht="45">
      <c r="C159" s="41" t="s">
        <v>207</v>
      </c>
    </row>
    <row r="160" spans="1:4" ht="45">
      <c r="A160" s="133">
        <v>93</v>
      </c>
      <c r="B160" s="132" t="s">
        <v>676</v>
      </c>
      <c r="C160" s="41" t="s">
        <v>375</v>
      </c>
      <c r="D160" s="40" t="s">
        <v>376</v>
      </c>
    </row>
    <row r="161" spans="1:4" ht="45">
      <c r="A161" s="133"/>
      <c r="B161" s="132"/>
      <c r="C161" s="41" t="s">
        <v>208</v>
      </c>
    </row>
    <row r="162" spans="1:4" ht="15" customHeight="1">
      <c r="A162" s="133"/>
      <c r="B162" s="132"/>
      <c r="C162" s="41" t="s">
        <v>215</v>
      </c>
    </row>
    <row r="163" spans="1:4" ht="45">
      <c r="A163" s="188">
        <v>94</v>
      </c>
      <c r="B163" s="188" t="s">
        <v>677</v>
      </c>
      <c r="C163" s="41" t="s">
        <v>373</v>
      </c>
      <c r="D163" s="40" t="s">
        <v>374</v>
      </c>
    </row>
    <row r="164" spans="1:4" ht="45">
      <c r="A164" s="188"/>
      <c r="B164" s="188"/>
      <c r="C164" s="41" t="s">
        <v>371</v>
      </c>
      <c r="D164" s="40" t="s">
        <v>372</v>
      </c>
    </row>
    <row r="165" spans="1:4" ht="90">
      <c r="A165"/>
      <c r="B165"/>
      <c r="C165" s="41" t="s">
        <v>370</v>
      </c>
    </row>
    <row r="166" spans="1:4" ht="15" customHeight="1">
      <c r="A166"/>
      <c r="B166"/>
      <c r="C166" s="41" t="s">
        <v>368</v>
      </c>
      <c r="D166" s="40" t="s">
        <v>369</v>
      </c>
    </row>
    <row r="167" spans="1:4" ht="45">
      <c r="A167"/>
      <c r="B167"/>
      <c r="C167" s="41" t="s">
        <v>366</v>
      </c>
      <c r="D167" s="40" t="s">
        <v>367</v>
      </c>
    </row>
    <row r="168" spans="1:4" ht="15" customHeight="1">
      <c r="A168" s="133">
        <v>95</v>
      </c>
      <c r="B168" s="132" t="s">
        <v>678</v>
      </c>
      <c r="C168" s="41" t="s">
        <v>364</v>
      </c>
      <c r="D168" s="50" t="s">
        <v>365</v>
      </c>
    </row>
    <row r="169" spans="1:4" ht="45">
      <c r="C169" s="41" t="s">
        <v>216</v>
      </c>
    </row>
    <row r="170" spans="1:4" ht="75">
      <c r="A170" s="133"/>
      <c r="B170" s="140"/>
      <c r="C170" s="41" t="s">
        <v>482</v>
      </c>
    </row>
    <row r="171" spans="1:4" ht="15" customHeight="1">
      <c r="A171" s="133">
        <v>96</v>
      </c>
      <c r="B171" s="132" t="s">
        <v>679</v>
      </c>
      <c r="C171" s="41" t="s">
        <v>483</v>
      </c>
      <c r="D171" s="40" t="s">
        <v>217</v>
      </c>
    </row>
    <row r="172" spans="1:4" ht="45">
      <c r="A172" s="133"/>
      <c r="B172" s="140"/>
      <c r="C172" s="41" t="s">
        <v>320</v>
      </c>
      <c r="D172" s="40" t="s">
        <v>321</v>
      </c>
    </row>
    <row r="173" spans="1:4" ht="105">
      <c r="A173" s="133"/>
      <c r="B173" s="140"/>
      <c r="C173" s="41" t="s">
        <v>484</v>
      </c>
      <c r="D173" s="40" t="s">
        <v>218</v>
      </c>
    </row>
    <row r="174" spans="1:4" ht="60">
      <c r="A174" s="133"/>
      <c r="B174" s="140"/>
      <c r="C174" s="41" t="s">
        <v>319</v>
      </c>
      <c r="D174" s="40" t="s">
        <v>219</v>
      </c>
    </row>
    <row r="175" spans="1:4" ht="75">
      <c r="A175" s="133"/>
      <c r="B175" s="140"/>
      <c r="C175" s="41" t="s">
        <v>318</v>
      </c>
      <c r="D175" s="40" t="s">
        <v>219</v>
      </c>
    </row>
    <row r="176" spans="1:4">
      <c r="A176" s="133"/>
      <c r="B176" s="140"/>
      <c r="C176" s="41" t="s">
        <v>220</v>
      </c>
    </row>
    <row r="177" spans="1:5" ht="18.75" customHeight="1">
      <c r="A177" s="133"/>
      <c r="B177" s="140"/>
      <c r="C177" s="41" t="s">
        <v>221</v>
      </c>
    </row>
    <row r="178" spans="1:5" ht="60">
      <c r="A178" s="133"/>
      <c r="B178" s="140"/>
      <c r="C178" s="41" t="s">
        <v>308</v>
      </c>
      <c r="D178" s="40" t="s">
        <v>309</v>
      </c>
    </row>
    <row r="179" spans="1:5" ht="15" customHeight="1">
      <c r="A179" s="133"/>
      <c r="B179" s="140"/>
      <c r="C179" s="41" t="s">
        <v>306</v>
      </c>
      <c r="D179" s="40" t="s">
        <v>307</v>
      </c>
    </row>
    <row r="180" spans="1:5" ht="60">
      <c r="A180" s="133">
        <v>97</v>
      </c>
      <c r="B180" s="132" t="s">
        <v>680</v>
      </c>
      <c r="C180" s="41" t="s">
        <v>304</v>
      </c>
      <c r="D180" s="40" t="s">
        <v>305</v>
      </c>
    </row>
    <row r="181" spans="1:5" ht="75">
      <c r="A181" s="133">
        <v>98</v>
      </c>
      <c r="B181" s="132" t="s">
        <v>681</v>
      </c>
      <c r="C181" s="41" t="s">
        <v>302</v>
      </c>
      <c r="D181" s="40" t="s">
        <v>303</v>
      </c>
    </row>
    <row r="182" spans="1:5" ht="90">
      <c r="A182" s="133">
        <v>99</v>
      </c>
      <c r="B182" s="132" t="s">
        <v>682</v>
      </c>
      <c r="C182" s="41" t="s">
        <v>300</v>
      </c>
      <c r="D182" s="40" t="s">
        <v>301</v>
      </c>
    </row>
    <row r="183" spans="1:5" ht="60">
      <c r="A183" s="133">
        <v>100</v>
      </c>
      <c r="B183" s="132" t="s">
        <v>683</v>
      </c>
      <c r="C183" s="41" t="s">
        <v>298</v>
      </c>
      <c r="D183" s="40" t="s">
        <v>299</v>
      </c>
    </row>
    <row r="184" spans="1:5" ht="90">
      <c r="C184" s="41" t="s">
        <v>485</v>
      </c>
    </row>
    <row r="185" spans="1:5" ht="15" customHeight="1">
      <c r="A185" s="133">
        <v>101</v>
      </c>
      <c r="B185" s="132" t="s">
        <v>684</v>
      </c>
      <c r="C185" s="41" t="s">
        <v>296</v>
      </c>
      <c r="D185" s="40" t="s">
        <v>297</v>
      </c>
    </row>
    <row r="186" spans="1:5" ht="45">
      <c r="A186" s="133">
        <v>102</v>
      </c>
      <c r="B186" s="132" t="s">
        <v>685</v>
      </c>
      <c r="C186" s="41" t="s">
        <v>294</v>
      </c>
      <c r="D186" s="40" t="s">
        <v>295</v>
      </c>
    </row>
    <row r="187" spans="1:5" ht="45">
      <c r="C187" s="41" t="s">
        <v>222</v>
      </c>
    </row>
    <row r="188" spans="1:5" ht="60">
      <c r="A188" s="133">
        <v>103</v>
      </c>
      <c r="B188" s="132" t="s">
        <v>686</v>
      </c>
      <c r="C188" s="41" t="s">
        <v>292</v>
      </c>
      <c r="D188" s="40" t="s">
        <v>293</v>
      </c>
    </row>
    <row r="189" spans="1:5" ht="75">
      <c r="A189" s="133">
        <v>104</v>
      </c>
      <c r="B189" s="132" t="s">
        <v>687</v>
      </c>
      <c r="C189" s="41" t="s">
        <v>290</v>
      </c>
      <c r="D189" s="40" t="s">
        <v>291</v>
      </c>
    </row>
    <row r="190" spans="1:5">
      <c r="A190" s="144" t="s">
        <v>691</v>
      </c>
      <c r="B190" s="144"/>
      <c r="C190" s="144"/>
      <c r="D190" s="144"/>
      <c r="E190" s="127"/>
    </row>
    <row r="191" spans="1:5">
      <c r="A191" s="128" t="s">
        <v>690</v>
      </c>
      <c r="D191" s="128"/>
      <c r="E191" s="127"/>
    </row>
    <row r="198" ht="15" customHeight="1"/>
    <row r="210" ht="15" customHeight="1"/>
    <row r="211" ht="15" customHeight="1"/>
    <row r="212" ht="15" customHeight="1"/>
    <row r="216" ht="15" customHeight="1"/>
  </sheetData>
  <customSheetViews>
    <customSheetView guid="{EF5CB27C-5FE0-45F3-94B2-4859305A3BC1}" topLeftCell="A165">
      <selection activeCell="B188" sqref="B188"/>
      <pageMargins left="0.7" right="0.7" top="0.75" bottom="0.75" header="0.3" footer="0.3"/>
      <pageSetup scale="53" orientation="portrait"/>
    </customSheetView>
  </customSheetViews>
  <mergeCells count="7">
    <mergeCell ref="B163:B164"/>
    <mergeCell ref="A163:A164"/>
    <mergeCell ref="A1:E1"/>
    <mergeCell ref="A84:A86"/>
    <mergeCell ref="B84:B86"/>
    <mergeCell ref="B95:B96"/>
    <mergeCell ref="A95:A96"/>
  </mergeCells>
  <phoneticPr fontId="35" type="noConversion"/>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
  <sheetViews>
    <sheetView workbookViewId="0">
      <selection activeCell="A8" sqref="A8"/>
    </sheetView>
  </sheetViews>
  <sheetFormatPr defaultColWidth="8.7109375" defaultRowHeight="15"/>
  <cols>
    <col min="1" max="1" width="26.28515625" customWidth="1"/>
  </cols>
  <sheetData>
    <row r="1" spans="1:2">
      <c r="A1" s="151" t="s">
        <v>710</v>
      </c>
      <c r="B1" s="151" t="s">
        <v>709</v>
      </c>
    </row>
    <row r="2" spans="1:2">
      <c r="A2" t="s">
        <v>519</v>
      </c>
      <c r="B2">
        <v>0</v>
      </c>
    </row>
    <row r="3" spans="1:2">
      <c r="A3" t="s">
        <v>148</v>
      </c>
      <c r="B3">
        <v>1</v>
      </c>
    </row>
    <row r="4" spans="1:2">
      <c r="A4" t="s">
        <v>602</v>
      </c>
      <c r="B4">
        <v>2</v>
      </c>
    </row>
    <row r="5" spans="1:2">
      <c r="A5" t="s">
        <v>151</v>
      </c>
      <c r="B5">
        <v>3</v>
      </c>
    </row>
    <row r="6" spans="1:2">
      <c r="A6" t="s">
        <v>153</v>
      </c>
      <c r="B6">
        <v>4</v>
      </c>
    </row>
    <row r="7" spans="1:2">
      <c r="A7" t="s">
        <v>118</v>
      </c>
      <c r="B7">
        <v>5</v>
      </c>
    </row>
    <row r="8" spans="1:2">
      <c r="A8" t="s">
        <v>729</v>
      </c>
      <c r="B8" t="s">
        <v>730</v>
      </c>
    </row>
  </sheetData>
  <phoneticPr fontId="35" type="noConversion"/>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READ ME</vt:lpstr>
      <vt:lpstr>How to Score Yourself</vt:lpstr>
      <vt:lpstr>Assessment Tool</vt:lpstr>
      <vt:lpstr>Tool Mapped to Standards</vt:lpstr>
      <vt:lpstr>Lookups</vt:lpstr>
      <vt:lpstr>'Assessment Tool'!Print_Area</vt:lpstr>
      <vt:lpstr>'How to Score Yourself'!Print_Area</vt:lpstr>
      <vt:lpstr>'Assessment Tool'!Print_Titles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Cathy Hubbs;Adam Vedra</dc:creator>
  <cp:lastModifiedBy>Matt</cp:lastModifiedBy>
  <cp:lastPrinted>2013-03-28T18:16:14Z</cp:lastPrinted>
  <dcterms:created xsi:type="dcterms:W3CDTF">2012-06-17T02:59:50Z</dcterms:created>
  <dcterms:modified xsi:type="dcterms:W3CDTF">2015-02-14T04:46:37Z</dcterms:modified>
</cp:coreProperties>
</file>